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Yadav's family\Downloads\Classic_Models_Sales_Analysis\Excel_Project\"/>
    </mc:Choice>
  </mc:AlternateContent>
  <xr:revisionPtr revIDLastSave="0" documentId="13_ncr:1_{2E391C08-4DE8-4A5D-B6F5-E4B6A99D63A2}" xr6:coauthVersionLast="47" xr6:coauthVersionMax="47" xr10:uidLastSave="{00000000-0000-0000-0000-000000000000}"/>
  <bookViews>
    <workbookView xWindow="-108" yWindow="-108" windowWidth="23256" windowHeight="12456" xr2:uid="{90D6D118-BCA1-48FD-8BF3-9381334AE221}"/>
  </bookViews>
  <sheets>
    <sheet name="Pivots " sheetId="3" r:id="rId1"/>
    <sheet name=" Clean Dataset" sheetId="2" r:id="rId2"/>
    <sheet name="Main Dashboard" sheetId="1" r:id="rId3"/>
  </sheets>
  <definedNames>
    <definedName name="_xlcn.WorksheetConnection_SalesClean.xlsxsales_data_sample1" hidden="1">sales_data_sample[]</definedName>
    <definedName name="ExternalData_1" localSheetId="1" hidden="1">' Clean Dataset'!$A$1:$S$308</definedName>
    <definedName name="NativeTimeline_OrderDate">#N/A</definedName>
    <definedName name="Slicer_COUNTRY">#N/A</definedName>
    <definedName name="Slicer_DEALSIZE">#N/A</definedName>
    <definedName name="Slicer_PRODUCTLINE">#N/A</definedName>
    <definedName name="Slicer_STATUS">#N/A</definedName>
    <definedName name="Slicer_TERRITORY">#N/A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sample" name="sales_data_sample" connection="WorksheetConnection_Sales Clean.xlsx!sales_data_samp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2" l="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J23" i="3"/>
  <c r="I23" i="3"/>
  <c r="H23" i="3"/>
  <c r="G23" i="3"/>
  <c r="J24" i="3"/>
  <c r="G24" i="3"/>
  <c r="H24" i="3"/>
  <c r="I24" i="3"/>
  <c r="L24"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6CAD6F-09E5-405E-B0A6-4F22852C695B}" keepAlive="1" name="Query - sales_data_sample" description="Connection to the 'sales_data_sample' query in the workbook." type="5" refreshedVersion="8" background="1" saveData="1">
    <dbPr connection="Provider=Microsoft.Mashup.OleDb.1;Data Source=$Workbook$;Location=sales_data_sample;Extended Properties=&quot;&quot;" command="SELECT * FROM [sales_data_sample]"/>
  </connection>
  <connection id="2" xr16:uid="{B476C4B5-716E-476F-8CB1-D2C186C070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8D55B2B-1C85-4AB3-8F19-3D3939E3FD45}" name="WorksheetConnection_Sales Clean.xlsx!sales_data_sample" type="102" refreshedVersion="8" minRefreshableVersion="5">
    <extLst>
      <ext xmlns:x15="http://schemas.microsoft.com/office/spreadsheetml/2010/11/main" uri="{DE250136-89BD-433C-8126-D09CA5730AF9}">
        <x15:connection id="sales_data_sample" autoDelete="1">
          <x15:rangePr sourceName="_xlcn.WorksheetConnection_SalesClean.xlsxsales_data_sample1"/>
        </x15:connection>
      </ext>
    </extLst>
  </connection>
</connections>
</file>

<file path=xl/sharedStrings.xml><?xml version="1.0" encoding="utf-8"?>
<sst xmlns="http://schemas.openxmlformats.org/spreadsheetml/2006/main" count="3793" uniqueCount="537">
  <si>
    <t>ORDERNUMBER</t>
  </si>
  <si>
    <t>CUSTOMERNAME</t>
  </si>
  <si>
    <t>OrderDate</t>
  </si>
  <si>
    <t>Month Name</t>
  </si>
  <si>
    <t>STATUS</t>
  </si>
  <si>
    <t>QUANTITYORDERED</t>
  </si>
  <si>
    <t>PRICEEACH</t>
  </si>
  <si>
    <t>SALES</t>
  </si>
  <si>
    <t>ORDERLINENUMBER</t>
  </si>
  <si>
    <t>PRODUCTLINE</t>
  </si>
  <si>
    <t>MSRP</t>
  </si>
  <si>
    <t>PRODUCTCODE</t>
  </si>
  <si>
    <t>CITY</t>
  </si>
  <si>
    <t>POSTALCODE</t>
  </si>
  <si>
    <t>COUNTRY</t>
  </si>
  <si>
    <t>TERRITORY</t>
  </si>
  <si>
    <t>CONTACTLASTNAME</t>
  </si>
  <si>
    <t>CONTACTFIRSTNAME</t>
  </si>
  <si>
    <t>DEALSIZE</t>
  </si>
  <si>
    <t>Land of Toys Inc.</t>
  </si>
  <si>
    <t>February</t>
  </si>
  <si>
    <t>Shipped</t>
  </si>
  <si>
    <t>Motorcycles</t>
  </si>
  <si>
    <t>S10_1678</t>
  </si>
  <si>
    <t>NYC</t>
  </si>
  <si>
    <t>10022</t>
  </si>
  <si>
    <t>USA</t>
  </si>
  <si>
    <t>NA</t>
  </si>
  <si>
    <t>Yu</t>
  </si>
  <si>
    <t>Kwai</t>
  </si>
  <si>
    <t>Small</t>
  </si>
  <si>
    <t>Reims Collectables</t>
  </si>
  <si>
    <t>May</t>
  </si>
  <si>
    <t>Reims</t>
  </si>
  <si>
    <t>51100</t>
  </si>
  <si>
    <t>France</t>
  </si>
  <si>
    <t>EMEA</t>
  </si>
  <si>
    <t>Henriot</t>
  </si>
  <si>
    <t>Paul</t>
  </si>
  <si>
    <t>Lyon Souveniers</t>
  </si>
  <si>
    <t>July</t>
  </si>
  <si>
    <t>Paris</t>
  </si>
  <si>
    <t>75508</t>
  </si>
  <si>
    <t>Da Cunha</t>
  </si>
  <si>
    <t>Daniel</t>
  </si>
  <si>
    <t>Medium</t>
  </si>
  <si>
    <t>Toys4GrownUps.com</t>
  </si>
  <si>
    <t>August</t>
  </si>
  <si>
    <t>Pasadena</t>
  </si>
  <si>
    <t>90003</t>
  </si>
  <si>
    <t>Young</t>
  </si>
  <si>
    <t>Julie</t>
  </si>
  <si>
    <t>Corporate Gift Ideas Co.</t>
  </si>
  <si>
    <t>October</t>
  </si>
  <si>
    <t>San Francisco</t>
  </si>
  <si>
    <t>Brown</t>
  </si>
  <si>
    <t>Technics Stores Inc.</t>
  </si>
  <si>
    <t>Burlingame</t>
  </si>
  <si>
    <t>94217</t>
  </si>
  <si>
    <t>Hirano</t>
  </si>
  <si>
    <t>Juri</t>
  </si>
  <si>
    <t>Daedalus Designs Imports</t>
  </si>
  <si>
    <t>November</t>
  </si>
  <si>
    <t>Lille</t>
  </si>
  <si>
    <t>59000</t>
  </si>
  <si>
    <t>Rance</t>
  </si>
  <si>
    <t>Martine</t>
  </si>
  <si>
    <t>Herkku Gifts</t>
  </si>
  <si>
    <t>Bergen</t>
  </si>
  <si>
    <t>N 5804</t>
  </si>
  <si>
    <t>Norway</t>
  </si>
  <si>
    <t>Oeztan</t>
  </si>
  <si>
    <t>Veysel</t>
  </si>
  <si>
    <t>Mini Wheels Co.</t>
  </si>
  <si>
    <t>December</t>
  </si>
  <si>
    <t>Murphy</t>
  </si>
  <si>
    <t>Auto Canal Petit</t>
  </si>
  <si>
    <t>January</t>
  </si>
  <si>
    <t>75016</t>
  </si>
  <si>
    <t>Perrier</t>
  </si>
  <si>
    <t>Dominique</t>
  </si>
  <si>
    <t>Australian Collectors, Co.</t>
  </si>
  <si>
    <t>Melbourne</t>
  </si>
  <si>
    <t>3004</t>
  </si>
  <si>
    <t>Australia</t>
  </si>
  <si>
    <t>APAC</t>
  </si>
  <si>
    <t>Ferguson</t>
  </si>
  <si>
    <t>Peter</t>
  </si>
  <si>
    <t>Vitachrome Inc.</t>
  </si>
  <si>
    <t>April</t>
  </si>
  <si>
    <t>Frick</t>
  </si>
  <si>
    <t>Michael</t>
  </si>
  <si>
    <t>Tekni Collectables Inc.</t>
  </si>
  <si>
    <t>Newark</t>
  </si>
  <si>
    <t>94019</t>
  </si>
  <si>
    <t>William</t>
  </si>
  <si>
    <t>Gift Depot Inc.</t>
  </si>
  <si>
    <t>June</t>
  </si>
  <si>
    <t>Bridgewater</t>
  </si>
  <si>
    <t>97562</t>
  </si>
  <si>
    <t>King</t>
  </si>
  <si>
    <t>La Rochelle Gifts</t>
  </si>
  <si>
    <t>Nantes</t>
  </si>
  <si>
    <t>44000</t>
  </si>
  <si>
    <t>Labrune</t>
  </si>
  <si>
    <t>Janine</t>
  </si>
  <si>
    <t>Marta's Replicas Co.</t>
  </si>
  <si>
    <t>Cambridge</t>
  </si>
  <si>
    <t>51247</t>
  </si>
  <si>
    <t>Hernandez</t>
  </si>
  <si>
    <t>Marta</t>
  </si>
  <si>
    <t>Toys of Finland, Co.</t>
  </si>
  <si>
    <t>September</t>
  </si>
  <si>
    <t>Helsinki</t>
  </si>
  <si>
    <t>21240</t>
  </si>
  <si>
    <t>Finland</t>
  </si>
  <si>
    <t>Karttunen</t>
  </si>
  <si>
    <t>Matti</t>
  </si>
  <si>
    <t>Baane Mini Imports</t>
  </si>
  <si>
    <t>Stavern</t>
  </si>
  <si>
    <t>4110</t>
  </si>
  <si>
    <t>Bergulfsen</t>
  </si>
  <si>
    <t>Jonas</t>
  </si>
  <si>
    <t>Diecast Classics Inc.</t>
  </si>
  <si>
    <t>Allentown</t>
  </si>
  <si>
    <t>70267</t>
  </si>
  <si>
    <t>Kyung</t>
  </si>
  <si>
    <t>Salzburg Collectables</t>
  </si>
  <si>
    <t>Salzburg</t>
  </si>
  <si>
    <t>5020</t>
  </si>
  <si>
    <t>Austria</t>
  </si>
  <si>
    <t>Pipps</t>
  </si>
  <si>
    <t>Georg</t>
  </si>
  <si>
    <t>Large</t>
  </si>
  <si>
    <t>Souveniers And Things Co.</t>
  </si>
  <si>
    <t>Chatswood</t>
  </si>
  <si>
    <t>2067</t>
  </si>
  <si>
    <t>Huxley</t>
  </si>
  <si>
    <t>Adrian</t>
  </si>
  <si>
    <t>FunGiftIdeas.com</t>
  </si>
  <si>
    <t>March</t>
  </si>
  <si>
    <t>New Bedford</t>
  </si>
  <si>
    <t>50553</t>
  </si>
  <si>
    <t>Benitez</t>
  </si>
  <si>
    <t>Violeta</t>
  </si>
  <si>
    <t>UK Collectables, Ltd.</t>
  </si>
  <si>
    <t>Liverpool</t>
  </si>
  <si>
    <t>WX1 6LT</t>
  </si>
  <si>
    <t>UK</t>
  </si>
  <si>
    <t>Devon</t>
  </si>
  <si>
    <t>Elizabeth</t>
  </si>
  <si>
    <t>Euro Shopping Channel</t>
  </si>
  <si>
    <t>Disputed</t>
  </si>
  <si>
    <t>Madrid</t>
  </si>
  <si>
    <t>28034</t>
  </si>
  <si>
    <t>Spain</t>
  </si>
  <si>
    <t>Freyre</t>
  </si>
  <si>
    <t>Diego</t>
  </si>
  <si>
    <t>Classic Cars</t>
  </si>
  <si>
    <t>S10_1949</t>
  </si>
  <si>
    <t>Volvo Model Replicas, Co</t>
  </si>
  <si>
    <t>Lule</t>
  </si>
  <si>
    <t>S-958 22</t>
  </si>
  <si>
    <t>Sweden</t>
  </si>
  <si>
    <t>Berglund</t>
  </si>
  <si>
    <t>Christina</t>
  </si>
  <si>
    <t>Corrida Auto Replicas, Ltd</t>
  </si>
  <si>
    <t>28023</t>
  </si>
  <si>
    <t>Sommer</t>
  </si>
  <si>
    <t>Mart¡n</t>
  </si>
  <si>
    <t>Dragon Souveniers, Ltd.</t>
  </si>
  <si>
    <t>Singapore</t>
  </si>
  <si>
    <t>79903</t>
  </si>
  <si>
    <t>Japan</t>
  </si>
  <si>
    <t>Natividad</t>
  </si>
  <si>
    <t>Eric</t>
  </si>
  <si>
    <t>Classic Legends Inc.</t>
  </si>
  <si>
    <t>Maria</t>
  </si>
  <si>
    <t>Australian Gift Network, Co</t>
  </si>
  <si>
    <t>South Brisbane</t>
  </si>
  <si>
    <t>4101</t>
  </si>
  <si>
    <t>Calaghan</t>
  </si>
  <si>
    <t>Tony</t>
  </si>
  <si>
    <t>Classic Gift Ideas, Inc</t>
  </si>
  <si>
    <t>Philadelphia</t>
  </si>
  <si>
    <t>71270</t>
  </si>
  <si>
    <t>Cervantes</t>
  </si>
  <si>
    <t>Francisca</t>
  </si>
  <si>
    <t>Saveley &amp; Henriot, Co.</t>
  </si>
  <si>
    <t>Lyon</t>
  </si>
  <si>
    <t>69004</t>
  </si>
  <si>
    <t>Saveley</t>
  </si>
  <si>
    <t>Mary</t>
  </si>
  <si>
    <t>Canadian Gift Exchange Network</t>
  </si>
  <si>
    <t>Vancouver</t>
  </si>
  <si>
    <t>V3F 2K1</t>
  </si>
  <si>
    <t>Canada</t>
  </si>
  <si>
    <t>Tannamuri</t>
  </si>
  <si>
    <t>Yoshi</t>
  </si>
  <si>
    <t>West Coast Collectables Co.</t>
  </si>
  <si>
    <t>Burbank</t>
  </si>
  <si>
    <t>Thompson</t>
  </si>
  <si>
    <t>Steve</t>
  </si>
  <si>
    <t>Cambridge Collectables Co.</t>
  </si>
  <si>
    <t>Tseng</t>
  </si>
  <si>
    <t>Super Scale Inc.</t>
  </si>
  <si>
    <t>New Haven</t>
  </si>
  <si>
    <t>97823</t>
  </si>
  <si>
    <t>Leslie</t>
  </si>
  <si>
    <t>Tokyo Collectables, Ltd</t>
  </si>
  <si>
    <t>Minato-ku</t>
  </si>
  <si>
    <t>106-0032</t>
  </si>
  <si>
    <t>Shimamura</t>
  </si>
  <si>
    <t>Akiko</t>
  </si>
  <si>
    <t>Amica Models &amp; Co.</t>
  </si>
  <si>
    <t>Torino</t>
  </si>
  <si>
    <t>10100</t>
  </si>
  <si>
    <t>Italy</t>
  </si>
  <si>
    <t>Accorti</t>
  </si>
  <si>
    <t>Paolo</t>
  </si>
  <si>
    <t>Scandinavian Gift Ideas</t>
  </si>
  <si>
    <t>Boras</t>
  </si>
  <si>
    <t>S-844 67</t>
  </si>
  <si>
    <t>Larsson</t>
  </si>
  <si>
    <t>Auto Assoc. &amp; Cie.</t>
  </si>
  <si>
    <t>Versailles</t>
  </si>
  <si>
    <t>78000</t>
  </si>
  <si>
    <t>Tonini</t>
  </si>
  <si>
    <t>Mini Gifts Distributors Ltd.</t>
  </si>
  <si>
    <t>San Rafael</t>
  </si>
  <si>
    <t>Nelson</t>
  </si>
  <si>
    <t>Valarie</t>
  </si>
  <si>
    <t>Online Diecast Creations Co.</t>
  </si>
  <si>
    <t>Nashua</t>
  </si>
  <si>
    <t>62005</t>
  </si>
  <si>
    <t>Collectables For Less Inc.</t>
  </si>
  <si>
    <t>Brickhaven</t>
  </si>
  <si>
    <t>58339</t>
  </si>
  <si>
    <t>Allen</t>
  </si>
  <si>
    <t>Anna's Decorations, Ltd</t>
  </si>
  <si>
    <t>North Sydney</t>
  </si>
  <si>
    <t>2060</t>
  </si>
  <si>
    <t>O'Hara</t>
  </si>
  <si>
    <t>Anna</t>
  </si>
  <si>
    <t>Quebec Home Shopping Network</t>
  </si>
  <si>
    <t>Montreal</t>
  </si>
  <si>
    <t>H1J 1C3</t>
  </si>
  <si>
    <t>Fresnisre</t>
  </si>
  <si>
    <t>Jean</t>
  </si>
  <si>
    <t>In Process</t>
  </si>
  <si>
    <t>S10_2016</t>
  </si>
  <si>
    <t>Osaka Souveniers Co.</t>
  </si>
  <si>
    <t>Osaka</t>
  </si>
  <si>
    <t>530-0003</t>
  </si>
  <si>
    <t>Kentary</t>
  </si>
  <si>
    <t>Mory</t>
  </si>
  <si>
    <t>Motor Mint Distributors Inc.</t>
  </si>
  <si>
    <t>Rosa</t>
  </si>
  <si>
    <t>Atelier graphique</t>
  </si>
  <si>
    <t>Schmitt</t>
  </si>
  <si>
    <t>Carine</t>
  </si>
  <si>
    <t>Mini Classics</t>
  </si>
  <si>
    <t>White Plains</t>
  </si>
  <si>
    <t>24067</t>
  </si>
  <si>
    <t>S10_4698</t>
  </si>
  <si>
    <t>Danish Wholesale Imports</t>
  </si>
  <si>
    <t>S10_4757</t>
  </si>
  <si>
    <t>Kobenhavn</t>
  </si>
  <si>
    <t>1734</t>
  </si>
  <si>
    <t>Denmark</t>
  </si>
  <si>
    <t>Petersen</t>
  </si>
  <si>
    <t>Jytte</t>
  </si>
  <si>
    <t>Stylish Desk Decors, Co.</t>
  </si>
  <si>
    <t>London</t>
  </si>
  <si>
    <t>WX3 6FW</t>
  </si>
  <si>
    <t>Ann</t>
  </si>
  <si>
    <t>Mini Creations Ltd.</t>
  </si>
  <si>
    <t>Tam</t>
  </si>
  <si>
    <t>Wing C</t>
  </si>
  <si>
    <t>Cancelled</t>
  </si>
  <si>
    <t>Alpha Cognac</t>
  </si>
  <si>
    <t>Toulouse</t>
  </si>
  <si>
    <t>31000</t>
  </si>
  <si>
    <t>Roulet</t>
  </si>
  <si>
    <t>Annette</t>
  </si>
  <si>
    <t>Double Decker Gift Stores, Ltd</t>
  </si>
  <si>
    <t>WA1 1DP</t>
  </si>
  <si>
    <t>Hardy</t>
  </si>
  <si>
    <t>Thomas</t>
  </si>
  <si>
    <t>Enaco Distributors</t>
  </si>
  <si>
    <t>Barcelona</t>
  </si>
  <si>
    <t>8022</t>
  </si>
  <si>
    <t>Saavedra</t>
  </si>
  <si>
    <t>Eduardo</t>
  </si>
  <si>
    <t>Men 'R' US Retailers, Ltd.</t>
  </si>
  <si>
    <t>Los Angeles</t>
  </si>
  <si>
    <t>Chandler</t>
  </si>
  <si>
    <t>Collectable Mini Designs Co.</t>
  </si>
  <si>
    <t>San Diego</t>
  </si>
  <si>
    <t>91217</t>
  </si>
  <si>
    <t>Petit Auto</t>
  </si>
  <si>
    <t>Bruxelles</t>
  </si>
  <si>
    <t>B-1180</t>
  </si>
  <si>
    <t>Belgium</t>
  </si>
  <si>
    <t>Dewey</t>
  </si>
  <si>
    <t>Catherine</t>
  </si>
  <si>
    <t>Royal Canadian Collectables, Ltd.</t>
  </si>
  <si>
    <t>Tsawassen</t>
  </si>
  <si>
    <t>T2F 8M4</t>
  </si>
  <si>
    <t>Lincoln</t>
  </si>
  <si>
    <t>Gifts4AllAges.com</t>
  </si>
  <si>
    <t>Boston</t>
  </si>
  <si>
    <t>51003</t>
  </si>
  <si>
    <t>Yoshido</t>
  </si>
  <si>
    <t>giftsbymail.co.uk</t>
  </si>
  <si>
    <t>Cowes</t>
  </si>
  <si>
    <t>PO31 7PJ</t>
  </si>
  <si>
    <t>Bennett</t>
  </si>
  <si>
    <t>Helen</t>
  </si>
  <si>
    <t>Oulu Toy Supplies, Inc.</t>
  </si>
  <si>
    <t>Oulu</t>
  </si>
  <si>
    <t>90110</t>
  </si>
  <si>
    <t>Koskitalo</t>
  </si>
  <si>
    <t>Pirkko</t>
  </si>
  <si>
    <t>The Sharp Gifts Warehouse</t>
  </si>
  <si>
    <t>San Jose</t>
  </si>
  <si>
    <t>Sue</t>
  </si>
  <si>
    <t>On Hold</t>
  </si>
  <si>
    <t>La Corne D'abondance, Co.</t>
  </si>
  <si>
    <t>S10_4962</t>
  </si>
  <si>
    <t>75012</t>
  </si>
  <si>
    <t>Bertrand</t>
  </si>
  <si>
    <t>Marie</t>
  </si>
  <si>
    <t>Mini Auto Werke</t>
  </si>
  <si>
    <t>Resolved</t>
  </si>
  <si>
    <t>Graz</t>
  </si>
  <si>
    <t>8010</t>
  </si>
  <si>
    <t>Mendel</t>
  </si>
  <si>
    <t>Roland</t>
  </si>
  <si>
    <t>Diecast Collectables</t>
  </si>
  <si>
    <t>Franco</t>
  </si>
  <si>
    <t>Handji Gifts&amp; Co</t>
  </si>
  <si>
    <t>69045</t>
  </si>
  <si>
    <t>Victorino</t>
  </si>
  <si>
    <t>Wendy</t>
  </si>
  <si>
    <t>Cruz &amp; Sons Co.</t>
  </si>
  <si>
    <t>S12_1099</t>
  </si>
  <si>
    <t>Makati City</t>
  </si>
  <si>
    <t>1227 MM</t>
  </si>
  <si>
    <t>Philippines</t>
  </si>
  <si>
    <t>Cruz</t>
  </si>
  <si>
    <t>Arnold</t>
  </si>
  <si>
    <t>Marseille Mini Autos</t>
  </si>
  <si>
    <t>Marseille</t>
  </si>
  <si>
    <t>13008</t>
  </si>
  <si>
    <t>Lebihan</t>
  </si>
  <si>
    <t>Laurence</t>
  </si>
  <si>
    <t>Toms Spezialitten, Ltd</t>
  </si>
  <si>
    <t>Koln</t>
  </si>
  <si>
    <t>50739</t>
  </si>
  <si>
    <t>Germany</t>
  </si>
  <si>
    <t>Pfalzheim</t>
  </si>
  <si>
    <t>Henriette</t>
  </si>
  <si>
    <t>Vida Sport, Ltd</t>
  </si>
  <si>
    <t>Gensve</t>
  </si>
  <si>
    <t>1203</t>
  </si>
  <si>
    <t>Switzerland</t>
  </si>
  <si>
    <t>Holz</t>
  </si>
  <si>
    <t>L'ordine Souveniers</t>
  </si>
  <si>
    <t>Reggio Emilia</t>
  </si>
  <si>
    <t>42100</t>
  </si>
  <si>
    <t>Moroni</t>
  </si>
  <si>
    <t>Maurizio</t>
  </si>
  <si>
    <t>Online Mini Collectables</t>
  </si>
  <si>
    <t>Barajas</t>
  </si>
  <si>
    <t>Miguel</t>
  </si>
  <si>
    <t>Blauer See Auto, Co.</t>
  </si>
  <si>
    <t>Frankfurt</t>
  </si>
  <si>
    <t>60528</t>
  </si>
  <si>
    <t>Keitel</t>
  </si>
  <si>
    <t>Suominen Souveniers</t>
  </si>
  <si>
    <t>Espoo</t>
  </si>
  <si>
    <t>FIN-02271</t>
  </si>
  <si>
    <t>Suominen</t>
  </si>
  <si>
    <t>Kalle</t>
  </si>
  <si>
    <t>S12_1108</t>
  </si>
  <si>
    <t>Muscle Machine Inc</t>
  </si>
  <si>
    <t>Jeff</t>
  </si>
  <si>
    <t>Clover Collections, Co.</t>
  </si>
  <si>
    <t>Dublin</t>
  </si>
  <si>
    <t>2</t>
  </si>
  <si>
    <t>Ireland</t>
  </si>
  <si>
    <t>Cassidy</t>
  </si>
  <si>
    <t>Dean</t>
  </si>
  <si>
    <t>CAF Imports</t>
  </si>
  <si>
    <t>Fernandez</t>
  </si>
  <si>
    <t>Jesus</t>
  </si>
  <si>
    <t>AV Stores, Co.</t>
  </si>
  <si>
    <t>Manchester</t>
  </si>
  <si>
    <t>EC2 5NT</t>
  </si>
  <si>
    <t>Ashworth</t>
  </si>
  <si>
    <t>Victoria</t>
  </si>
  <si>
    <t>Heintze Collectables</t>
  </si>
  <si>
    <t>Aaarhus</t>
  </si>
  <si>
    <t>8200</t>
  </si>
  <si>
    <t>Ibsen</t>
  </si>
  <si>
    <t>Palle</t>
  </si>
  <si>
    <t>Trucks and Buses</t>
  </si>
  <si>
    <t>S12_1666</t>
  </si>
  <si>
    <t>S12_2823</t>
  </si>
  <si>
    <t>Microscale Inc.</t>
  </si>
  <si>
    <t>Kuo</t>
  </si>
  <si>
    <t>Kee</t>
  </si>
  <si>
    <t>S12_3148</t>
  </si>
  <si>
    <t>S12_3380</t>
  </si>
  <si>
    <t>Boards &amp; Toys Co.</t>
  </si>
  <si>
    <t>Glendale</t>
  </si>
  <si>
    <t>92561</t>
  </si>
  <si>
    <t>S12_3891</t>
  </si>
  <si>
    <t>S12_3990</t>
  </si>
  <si>
    <t>S12_4473</t>
  </si>
  <si>
    <t>Iberia Gift Imports, Corp.</t>
  </si>
  <si>
    <t>Sevilla</t>
  </si>
  <si>
    <t>41101</t>
  </si>
  <si>
    <t>Roel</t>
  </si>
  <si>
    <t>Jose Pedro</t>
  </si>
  <si>
    <t>Signal Collectibles Ltd.</t>
  </si>
  <si>
    <t>Brisbane</t>
  </si>
  <si>
    <t>Taylor</t>
  </si>
  <si>
    <t>S12_4675</t>
  </si>
  <si>
    <t>Mini Caravy</t>
  </si>
  <si>
    <t>Strasbourg</t>
  </si>
  <si>
    <t>67000</t>
  </si>
  <si>
    <t>Citeaux</t>
  </si>
  <si>
    <t>Frederique</t>
  </si>
  <si>
    <t>S18_1129</t>
  </si>
  <si>
    <t>Signal Gift Stores</t>
  </si>
  <si>
    <t>Las Vegas</t>
  </si>
  <si>
    <t>83030</t>
  </si>
  <si>
    <t>Norway Gifts By Mail, Co.</t>
  </si>
  <si>
    <t>Oslo</t>
  </si>
  <si>
    <t>N 0106</t>
  </si>
  <si>
    <t>Klaeboe</t>
  </si>
  <si>
    <t>Jan</t>
  </si>
  <si>
    <t>Vintage Cars</t>
  </si>
  <si>
    <t>S18_1342</t>
  </si>
  <si>
    <t>Rovelli Gifts</t>
  </si>
  <si>
    <t>Bergamo</t>
  </si>
  <si>
    <t>24100</t>
  </si>
  <si>
    <t>Rovelli</t>
  </si>
  <si>
    <t>Giovanni</t>
  </si>
  <si>
    <t>Australian Collectables, Ltd</t>
  </si>
  <si>
    <t>Glen Waverly</t>
  </si>
  <si>
    <t>3150</t>
  </si>
  <si>
    <t>Connery</t>
  </si>
  <si>
    <t>Sean</t>
  </si>
  <si>
    <t>S18_1589</t>
  </si>
  <si>
    <t>Planes</t>
  </si>
  <si>
    <t>S18_1662</t>
  </si>
  <si>
    <t>Gift Ideas Corp.</t>
  </si>
  <si>
    <t>97561</t>
  </si>
  <si>
    <t>Lewis</t>
  </si>
  <si>
    <t>Dan</t>
  </si>
  <si>
    <t>Bavarian Collectables Imports, Co.</t>
  </si>
  <si>
    <t>Munich</t>
  </si>
  <si>
    <t>80686</t>
  </si>
  <si>
    <t>Donnermeyer</t>
  </si>
  <si>
    <t>Royale Belge</t>
  </si>
  <si>
    <t>Charleroi</t>
  </si>
  <si>
    <t>B-6000</t>
  </si>
  <si>
    <t>Cartrain</t>
  </si>
  <si>
    <t>Pascale</t>
  </si>
  <si>
    <t>S18_1749</t>
  </si>
  <si>
    <t>S18_1984</t>
  </si>
  <si>
    <t>S18_2248</t>
  </si>
  <si>
    <t>S18_2319</t>
  </si>
  <si>
    <t>S18_2325</t>
  </si>
  <si>
    <t>S18_2581</t>
  </si>
  <si>
    <t>S18_2795</t>
  </si>
  <si>
    <t>S18_2949</t>
  </si>
  <si>
    <t>S18_2957</t>
  </si>
  <si>
    <t>Auto-Moto Classics Inc.</t>
  </si>
  <si>
    <t>Ships</t>
  </si>
  <si>
    <t>S18_3029</t>
  </si>
  <si>
    <t>S18_3140</t>
  </si>
  <si>
    <t>S18_3232</t>
  </si>
  <si>
    <t>Trains</t>
  </si>
  <si>
    <t>S18_3259</t>
  </si>
  <si>
    <t>S18_3278</t>
  </si>
  <si>
    <t>S18_3320</t>
  </si>
  <si>
    <t>S18_3482</t>
  </si>
  <si>
    <t>S18_3782</t>
  </si>
  <si>
    <t>S18_3856</t>
  </si>
  <si>
    <t>S18_4027</t>
  </si>
  <si>
    <t>S18_4409</t>
  </si>
  <si>
    <t>S18_4522</t>
  </si>
  <si>
    <t>S18_4933</t>
  </si>
  <si>
    <t>S24_2000</t>
  </si>
  <si>
    <t>S24_2022</t>
  </si>
  <si>
    <t>S24_2360</t>
  </si>
  <si>
    <t>S24_2766</t>
  </si>
  <si>
    <t>S24_2840</t>
  </si>
  <si>
    <t>S24_3151</t>
  </si>
  <si>
    <t>S24_3816</t>
  </si>
  <si>
    <t>S24_3969</t>
  </si>
  <si>
    <t>S24_4278</t>
  </si>
  <si>
    <t>S32_1374</t>
  </si>
  <si>
    <t>S32_2206</t>
  </si>
  <si>
    <t>S32_3207</t>
  </si>
  <si>
    <t>S32_4289</t>
  </si>
  <si>
    <t>S50_1341</t>
  </si>
  <si>
    <t>S700_1938</t>
  </si>
  <si>
    <t>S700_2047</t>
  </si>
  <si>
    <t>S700_3505</t>
  </si>
  <si>
    <t>S700_3962</t>
  </si>
  <si>
    <t>Customer Full Name</t>
  </si>
  <si>
    <t>Sum of SALES</t>
  </si>
  <si>
    <t>Count of ORDERNUMBER</t>
  </si>
  <si>
    <t>Total Order</t>
  </si>
  <si>
    <t>Total sales</t>
  </si>
  <si>
    <t>Total Quantity Sold</t>
  </si>
  <si>
    <t>Total Customer</t>
  </si>
  <si>
    <t>Row Labels</t>
  </si>
  <si>
    <t>Grand Total</t>
  </si>
  <si>
    <t xml:space="preserve">Average Order Value </t>
  </si>
  <si>
    <t xml:space="preserve">Average Selling Price </t>
  </si>
  <si>
    <t>Feb</t>
  </si>
  <si>
    <t>Mar</t>
  </si>
  <si>
    <t>Apr</t>
  </si>
  <si>
    <t>Jun</t>
  </si>
  <si>
    <t>Jul</t>
  </si>
  <si>
    <t>Aug</t>
  </si>
  <si>
    <t>Sep</t>
  </si>
  <si>
    <t>Oct</t>
  </si>
  <si>
    <t>Nov</t>
  </si>
  <si>
    <t>Dec</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</si>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</sst>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quot;M&quot;"/>
    <numFmt numFmtId="166" formatCode="[$$-409]#,##0.00"/>
    <numFmt numFmtId="167" formatCode="\$0.00,&quot;K&quot;"/>
    <numFmt numFmtId="168" formatCode="\$0.0,&quot;K&quot;"/>
  </numFmts>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vertical="center"/>
    </xf>
    <xf numFmtId="164"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7" formatCode="\$0.00,&quot;K&quot;"/>
    </dxf>
    <dxf>
      <numFmt numFmtId="164"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[Classic_Models_Sales_Analysis_Dashboard.xlsx]Pivots !Sales-Trend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30834767641996558"/>
          <c:y val="8.3489563804524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31750"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'Pivots '!$B$6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1"/>
            <c:marker>
              <c:symbol val="circle"/>
              <c:size val="5"/>
              <c:spPr>
                <a:solidFill>
                  <a:schemeClr val="accent1"/>
                </a:solidFill>
                <a:ln w="9525">
                  <a:solidFill>
                    <a:schemeClr val="accent1"/>
                  </a:solidFill>
                </a:ln>
                <a:effectLst/>
              </c:spPr>
            </c:marker>
            <c:bubble3D val="0"/>
            <c:spPr>
              <a:ln w="31750" cap="rnd">
                <a:solidFill>
                  <a:schemeClr val="accent1"/>
                </a:solidFill>
                <a:round/>
              </a:ln>
              <a:effectLst/>
            </c:spPr>
            <c:extLst>
              <c:ext xmlns:c16="http://schemas.microsoft.com/office/drawing/2014/chart" uri="{C3380CC4-5D6E-409C-BE32-E72D297353CC}">
                <c16:uniqueId val="{00000001-CC71-4472-869B-B48638346E1E}"/>
              </c:ext>
            </c:extLst>
          </c:dPt>
          <c:cat>
            <c:strRef>
              <c:f>'Pivots '!$A$7:$A$19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'!$B$7:$B$19</c:f>
              <c:numCache>
                <c:formatCode>General</c:formatCode>
                <c:ptCount val="12"/>
                <c:pt idx="0">
                  <c:v>109979.68999999999</c:v>
                </c:pt>
                <c:pt idx="1">
                  <c:v>114294.27000000002</c:v>
                </c:pt>
                <c:pt idx="2">
                  <c:v>106581.90000000002</c:v>
                </c:pt>
                <c:pt idx="3">
                  <c:v>112145.02999999998</c:v>
                </c:pt>
                <c:pt idx="4">
                  <c:v>146003.9</c:v>
                </c:pt>
                <c:pt idx="5">
                  <c:v>74518.270000000019</c:v>
                </c:pt>
                <c:pt idx="6">
                  <c:v>76429.62</c:v>
                </c:pt>
                <c:pt idx="7">
                  <c:v>80698.98</c:v>
                </c:pt>
                <c:pt idx="8">
                  <c:v>94750.5</c:v>
                </c:pt>
                <c:pt idx="9">
                  <c:v>156925.06999999998</c:v>
                </c:pt>
                <c:pt idx="10">
                  <c:v>270092.26</c:v>
                </c:pt>
                <c:pt idx="11">
                  <c:v>66245.990000000005</c:v>
                </c:pt>
              </c:numCache>
            </c:numRef>
          </c:val>
          <c:smooth val="0"/>
          <c:extLst>
            <c:ext xmlns:c16="http://schemas.microsoft.com/office/drawing/2014/chart" uri="{C3380CC4-5D6E-409C-BE32-E72D297353CC}">
              <c16:uniqueId val="{00000002-CC71-4472-869B-B48638346E1E}"/>
            </c:ext>
          </c:extLst>
        </c:ser>
        <c:dLbls>
          <c:showLegendKey val="0"/>
          <c:showVal val="0"/>
          <c:showCatName val="0"/>
          <c:showSerName val="0"/>
          <c:showPercent val="0"/>
          <c:showBubbleSize val="0"/>
        </c:dLbls>
        <c:marker val="1"/>
        <c:smooth val="0"/>
        <c:axId val="269312639"/>
        <c:axId val="275713295"/>
      </c:lineChart>
      <c:catAx>
        <c:axId val="26931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5713295"/>
        <c:crosses val="autoZero"/>
        <c:auto val="1"/>
        <c:lblAlgn val="ctr"/>
        <c:lblOffset val="100"/>
        <c:noMultiLvlLbl val="0"/>
      </c:catAx>
      <c:valAx>
        <c:axId val="27571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931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[Classic_Models_Sales_Analysis_Dashboard.xlsx]Pivots !product-Analysis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Line </a:t>
            </a:r>
            <a:endParaRPr lang="en-US"/>
          </a:p>
        </c:rich>
      </c:tx>
      <c:layout>
        <c:manualLayout>
          <c:xMode val="edge"/>
          <c:yMode val="edge"/>
          <c:x val="0.4742479441036998"/>
          <c:y val="0.111111066924732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15164888663112"/>
          <c:y val="5.2504744223284251E-2"/>
          <c:w val="0.6489773833714334"/>
          <c:h val="0.81148133922284105"/>
        </c:manualLayout>
      </c:layout>
      <c:barChart>
        <c:barDir val="col"/>
        <c:grouping val="clustered"/>
        <c:varyColors val="0"/>
        <c:ser>
          <c:idx val="0"/>
          <c:order val="0"/>
          <c:tx>
            <c:strRef>
              <c:f>'Pivots '!$E$29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'!$D$30:$D$37</c:f>
              <c:strCache>
                <c:ptCount val="7"/>
                <c:pt idx="0">
                  <c:v>Classic Cars</c:v>
                </c:pt>
                <c:pt idx="1">
                  <c:v>Vintage Cars</c:v>
                </c:pt>
                <c:pt idx="2">
                  <c:v>Motorcycles</c:v>
                </c:pt>
                <c:pt idx="3">
                  <c:v>Planes</c:v>
                </c:pt>
                <c:pt idx="4">
                  <c:v>Trucks and Buses</c:v>
                </c:pt>
                <c:pt idx="5">
                  <c:v>Ships</c:v>
                </c:pt>
                <c:pt idx="6">
                  <c:v>Trains</c:v>
                </c:pt>
              </c:strCache>
            </c:strRef>
          </c:cat>
          <c:val>
            <c:numRef>
              <c:f>'Pivots '!$E$30:$E$37</c:f>
              <c:numCache>
                <c:formatCode>General</c:formatCode>
                <c:ptCount val="7"/>
                <c:pt idx="0">
                  <c:v>862876.90000000061</c:v>
                </c:pt>
                <c:pt idx="1">
                  <c:v>209343.97</c:v>
                </c:pt>
                <c:pt idx="2">
                  <c:v>169340.02</c:v>
                </c:pt>
                <c:pt idx="3">
                  <c:v>87578.14</c:v>
                </c:pt>
                <c:pt idx="4">
                  <c:v>56311.839999999989</c:v>
                </c:pt>
                <c:pt idx="5">
                  <c:v>17695.669999999998</c:v>
                </c:pt>
                <c:pt idx="6">
                  <c:v>5518.94</c:v>
                </c:pt>
              </c:numCache>
            </c:numRef>
          </c:val>
          <c:extLst>
            <c:ext xmlns:c16="http://schemas.microsoft.com/office/drawing/2014/chart" uri="{C3380CC4-5D6E-409C-BE32-E72D297353CC}">
              <c16:uniqueId val="{00000000-82DA-498C-ABFD-3EBE7115E9B1}"/>
            </c:ext>
          </c:extLst>
        </c:ser>
        <c:dLbls>
          <c:dLblPos val="outEnd"/>
          <c:showLegendKey val="0"/>
          <c:showVal val="1"/>
          <c:showCatName val="0"/>
          <c:showSerName val="0"/>
          <c:showPercent val="0"/>
          <c:showBubbleSize val="0"/>
        </c:dLbls>
        <c:gapWidth val="21"/>
        <c:axId val="731764847"/>
        <c:axId val="1057509935"/>
      </c:barChart>
      <c:catAx>
        <c:axId val="73176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7509935"/>
        <c:crosses val="autoZero"/>
        <c:auto val="1"/>
        <c:lblAlgn val="ctr"/>
        <c:lblOffset val="100"/>
        <c:noMultiLvlLbl val="0"/>
      </c:catAx>
      <c:valAx>
        <c:axId val="1057509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176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[Classic_Models_Sales_Analysis_Dashboard.xlsx]Pivots !Country 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Top10</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1589918944271"/>
          <c:y val="9.7424393379398982E-2"/>
          <c:w val="0.72361075747199244"/>
          <c:h val="0.78918509186351704"/>
        </c:manualLayout>
      </c:layout>
      <c:barChart>
        <c:barDir val="bar"/>
        <c:grouping val="clustered"/>
        <c:varyColors val="0"/>
        <c:ser>
          <c:idx val="0"/>
          <c:order val="0"/>
          <c:tx>
            <c:strRef>
              <c:f>'Pivots '!$E$6</c:f>
              <c:strCache>
                <c:ptCount val="1"/>
                <c:pt idx="0">
                  <c:v>Total</c:v>
                </c:pt>
              </c:strCache>
            </c:strRef>
          </c:tx>
          <c:spPr>
            <a:solidFill>
              <a:schemeClr val="accent1"/>
            </a:solidFill>
            <a:ln>
              <a:noFill/>
            </a:ln>
            <a:effectLst/>
          </c:spPr>
          <c:invertIfNegative val="0"/>
          <c:cat>
            <c:strRef>
              <c:f>'Pivots '!$D$7:$D$26</c:f>
              <c:strCache>
                <c:ptCount val="19"/>
                <c:pt idx="0">
                  <c:v>USA</c:v>
                </c:pt>
                <c:pt idx="1">
                  <c:v>France</c:v>
                </c:pt>
                <c:pt idx="2">
                  <c:v>Spain</c:v>
                </c:pt>
                <c:pt idx="3">
                  <c:v>Australia</c:v>
                </c:pt>
                <c:pt idx="4">
                  <c:v>UK</c:v>
                </c:pt>
                <c:pt idx="5">
                  <c:v>Italy</c:v>
                </c:pt>
                <c:pt idx="6">
                  <c:v>Singapore</c:v>
                </c:pt>
                <c:pt idx="7">
                  <c:v>Norway</c:v>
                </c:pt>
                <c:pt idx="8">
                  <c:v>Denmark</c:v>
                </c:pt>
                <c:pt idx="9">
                  <c:v>Sweden</c:v>
                </c:pt>
                <c:pt idx="10">
                  <c:v>Germany</c:v>
                </c:pt>
                <c:pt idx="11">
                  <c:v>Finland</c:v>
                </c:pt>
                <c:pt idx="12">
                  <c:v>Canada</c:v>
                </c:pt>
                <c:pt idx="13">
                  <c:v>Austria</c:v>
                </c:pt>
                <c:pt idx="14">
                  <c:v>Japan</c:v>
                </c:pt>
                <c:pt idx="15">
                  <c:v>Belgium</c:v>
                </c:pt>
                <c:pt idx="16">
                  <c:v>Philippines</c:v>
                </c:pt>
                <c:pt idx="17">
                  <c:v>Ireland</c:v>
                </c:pt>
                <c:pt idx="18">
                  <c:v>Switzerland</c:v>
                </c:pt>
              </c:strCache>
            </c:strRef>
          </c:cat>
          <c:val>
            <c:numRef>
              <c:f>'Pivots '!$E$7:$E$26</c:f>
              <c:numCache>
                <c:formatCode>General</c:formatCode>
                <c:ptCount val="19"/>
                <c:pt idx="0">
                  <c:v>524383.89</c:v>
                </c:pt>
                <c:pt idx="1">
                  <c:v>161203.70000000001</c:v>
                </c:pt>
                <c:pt idx="2">
                  <c:v>157078.92000000001</c:v>
                </c:pt>
                <c:pt idx="3">
                  <c:v>78724.680000000008</c:v>
                </c:pt>
                <c:pt idx="4">
                  <c:v>58880.53</c:v>
                </c:pt>
                <c:pt idx="5">
                  <c:v>51544.439999999995</c:v>
                </c:pt>
                <c:pt idx="6">
                  <c:v>47702.18</c:v>
                </c:pt>
                <c:pt idx="7">
                  <c:v>41482.370000000003</c:v>
                </c:pt>
                <c:pt idx="8">
                  <c:v>39151.18</c:v>
                </c:pt>
                <c:pt idx="9">
                  <c:v>36716.409999999996</c:v>
                </c:pt>
                <c:pt idx="10">
                  <c:v>35784.47</c:v>
                </c:pt>
                <c:pt idx="11">
                  <c:v>33648.299999999996</c:v>
                </c:pt>
                <c:pt idx="12">
                  <c:v>32586.080000000002</c:v>
                </c:pt>
                <c:pt idx="13">
                  <c:v>27942.6</c:v>
                </c:pt>
                <c:pt idx="14">
                  <c:v>25491.37</c:v>
                </c:pt>
                <c:pt idx="15">
                  <c:v>21988.67</c:v>
                </c:pt>
                <c:pt idx="16">
                  <c:v>17154.349999999999</c:v>
                </c:pt>
                <c:pt idx="17">
                  <c:v>9251.1899999999987</c:v>
                </c:pt>
                <c:pt idx="18">
                  <c:v>7950.15</c:v>
                </c:pt>
              </c:numCache>
            </c:numRef>
          </c:val>
          <c:extLst>
            <c:ext xmlns:c16="http://schemas.microsoft.com/office/drawing/2014/chart" uri="{C3380CC4-5D6E-409C-BE32-E72D297353CC}">
              <c16:uniqueId val="{00000000-DC6D-44F1-9665-791D1F66172D}"/>
            </c:ext>
          </c:extLst>
        </c:ser>
        <c:dLbls>
          <c:showLegendKey val="0"/>
          <c:showVal val="0"/>
          <c:showCatName val="0"/>
          <c:showSerName val="0"/>
          <c:showPercent val="0"/>
          <c:showBubbleSize val="0"/>
        </c:dLbls>
        <c:gapWidth val="33"/>
        <c:axId val="1145975999"/>
        <c:axId val="1057743695"/>
      </c:barChart>
      <c:catAx>
        <c:axId val="114597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7743695"/>
        <c:crosses val="autoZero"/>
        <c:auto val="1"/>
        <c:lblAlgn val="ctr"/>
        <c:lblOffset val="100"/>
        <c:noMultiLvlLbl val="0"/>
      </c:catAx>
      <c:valAx>
        <c:axId val="1057743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597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[Classic_Models_Sales_Analysis_Dashboard.xlsx]Pivots !Customer-Analysis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8631221084907307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8631221084907307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8631221084907307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35135456327052"/>
          <c:y val="0.12561611248516902"/>
          <c:w val="0.956989247311828"/>
          <c:h val="0.80569696969696969"/>
        </c:manualLayout>
      </c:layout>
      <c:barChart>
        <c:barDir val="bar"/>
        <c:grouping val="clustered"/>
        <c:varyColors val="0"/>
        <c:ser>
          <c:idx val="0"/>
          <c:order val="0"/>
          <c:tx>
            <c:strRef>
              <c:f>'Pivots '!$H$8</c:f>
              <c:strCache>
                <c:ptCount val="1"/>
                <c:pt idx="0">
                  <c:v>Total</c:v>
                </c:pt>
              </c:strCache>
            </c:strRef>
          </c:tx>
          <c:spPr>
            <a:solidFill>
              <a:schemeClr val="accent1"/>
            </a:solidFill>
            <a:ln>
              <a:noFill/>
            </a:ln>
            <a:effectLst/>
          </c:spPr>
          <c:invertIfNegative val="0"/>
          <c:dPt>
            <c:idx val="9"/>
            <c:invertIfNegative val="0"/>
            <c:bubble3D val="0"/>
            <c:spPr>
              <a:solidFill>
                <a:schemeClr val="accent1"/>
              </a:solidFill>
              <a:ln>
                <a:noFill/>
              </a:ln>
              <a:effectLst/>
            </c:spPr>
            <c:extLst>
              <c:ext xmlns:c16="http://schemas.microsoft.com/office/drawing/2014/chart" uri="{C3380CC4-5D6E-409C-BE32-E72D297353CC}">
                <c16:uniqueId val="{00000000-D51F-4C54-AA9B-FC14582EE266}"/>
              </c:ext>
            </c:extLst>
          </c:dPt>
          <c:dLbls>
            <c:dLbl>
              <c:idx val="9"/>
              <c:layout>
                <c:manualLayout>
                  <c:x val="-1.8631221084907307E-1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1F-4C54-AA9B-FC14582EE2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'!$G$9:$G$19</c:f>
              <c:strCache>
                <c:ptCount val="10"/>
                <c:pt idx="0">
                  <c:v>L'ordine Souveniers</c:v>
                </c:pt>
                <c:pt idx="1">
                  <c:v>Volvo Model Replicas, Co</c:v>
                </c:pt>
                <c:pt idx="2">
                  <c:v>Diecast Classics Inc.</c:v>
                </c:pt>
                <c:pt idx="3">
                  <c:v>Corporate Gift Ideas Co.</c:v>
                </c:pt>
                <c:pt idx="4">
                  <c:v>Muscle Machine Inc</c:v>
                </c:pt>
                <c:pt idx="5">
                  <c:v>Danish Wholesale Imports</c:v>
                </c:pt>
                <c:pt idx="6">
                  <c:v>The Sharp Gifts Warehouse</c:v>
                </c:pt>
                <c:pt idx="7">
                  <c:v>Dragon Souveniers, Ltd.</c:v>
                </c:pt>
                <c:pt idx="8">
                  <c:v>Mini Gifts Distributors Ltd.</c:v>
                </c:pt>
                <c:pt idx="9">
                  <c:v>Euro Shopping Channel</c:v>
                </c:pt>
              </c:strCache>
            </c:strRef>
          </c:cat>
          <c:val>
            <c:numRef>
              <c:f>'Pivots '!$H$9:$H$19</c:f>
              <c:numCache>
                <c:formatCode>General</c:formatCode>
                <c:ptCount val="10"/>
                <c:pt idx="0">
                  <c:v>20987.02</c:v>
                </c:pt>
                <c:pt idx="1">
                  <c:v>21081.02</c:v>
                </c:pt>
                <c:pt idx="2">
                  <c:v>22070.13</c:v>
                </c:pt>
                <c:pt idx="3">
                  <c:v>22695.89</c:v>
                </c:pt>
                <c:pt idx="4">
                  <c:v>24589.960000000003</c:v>
                </c:pt>
                <c:pt idx="5">
                  <c:v>27410.860000000004</c:v>
                </c:pt>
                <c:pt idx="6">
                  <c:v>29276.880000000001</c:v>
                </c:pt>
                <c:pt idx="7">
                  <c:v>32925.880000000005</c:v>
                </c:pt>
                <c:pt idx="8">
                  <c:v>86256.62999999999</c:v>
                </c:pt>
                <c:pt idx="9">
                  <c:v>108500.81000000001</c:v>
                </c:pt>
              </c:numCache>
            </c:numRef>
          </c:val>
          <c:extLst>
            <c:ext xmlns:c16="http://schemas.microsoft.com/office/drawing/2014/chart" uri="{C3380CC4-5D6E-409C-BE32-E72D297353CC}">
              <c16:uniqueId val="{00000001-D51F-4C54-AA9B-FC14582EE266}"/>
            </c:ext>
          </c:extLst>
        </c:ser>
        <c:dLbls>
          <c:dLblPos val="outEnd"/>
          <c:showLegendKey val="0"/>
          <c:showVal val="1"/>
          <c:showCatName val="0"/>
          <c:showSerName val="0"/>
          <c:showPercent val="0"/>
          <c:showBubbleSize val="0"/>
        </c:dLbls>
        <c:gapWidth val="49"/>
        <c:axId val="1928643615"/>
        <c:axId val="1704878703"/>
      </c:barChart>
      <c:catAx>
        <c:axId val="19286436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878703"/>
        <c:crosses val="autoZero"/>
        <c:auto val="1"/>
        <c:lblAlgn val="ctr"/>
        <c:lblOffset val="100"/>
        <c:noMultiLvlLbl val="0"/>
      </c:catAx>
      <c:valAx>
        <c:axId val="17048787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4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[Classic_Models_Sales_Analysis_Dashboard.xlsx]Pivots !Deal-Size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a:t>
            </a:r>
            <a:r>
              <a:rPr lang="en-US" baseline="0"/>
              <a:t> Size</a:t>
            </a:r>
            <a:endParaRPr lang="en-US"/>
          </a:p>
        </c:rich>
      </c:tx>
      <c:layout>
        <c:manualLayout>
          <c:xMode val="edge"/>
          <c:yMode val="edge"/>
          <c:x val="0.74751642586068312"/>
          <c:y val="0.103965920697798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9555551181102351"/>
              <c:y val="-0.1051589037481426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7ECFCE8-6068-4935-BABF-8F22FC71E7C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12931955380577428"/>
                  <c:h val="9.2523330417031202E-2"/>
                </c:manualLayout>
              </c15:layout>
              <c15:dlblFieldTable/>
              <c15:showDataLabelsRange val="0"/>
            </c:ext>
          </c:extLst>
        </c:dLbl>
      </c:pivotFmt>
      <c:pivotFmt>
        <c:idx val="2"/>
        <c:spPr>
          <a:solidFill>
            <a:schemeClr val="accent1"/>
          </a:solidFill>
          <a:ln w="19050">
            <a:solidFill>
              <a:schemeClr val="lt1"/>
            </a:solidFill>
          </a:ln>
          <a:effectLst/>
        </c:spPr>
        <c:dLbl>
          <c:idx val="0"/>
          <c:layout>
            <c:manualLayout>
              <c:x val="-0.16222230971128609"/>
              <c:y val="-0.156966490299823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6833333333333333"/>
              <c:y val="0.131172839506172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9555551181102351"/>
              <c:y val="-0.1051589037481426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7ECFCE8-6068-4935-BABF-8F22FC71E7C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12931955380577428"/>
                  <c:h val="9.2523330417031202E-2"/>
                </c:manualLayout>
              </c15:layout>
              <c15:dlblFieldTable/>
              <c15:showDataLabelsRange val="0"/>
            </c:ext>
          </c:extLst>
        </c:dLbl>
      </c:pivotFmt>
      <c:pivotFmt>
        <c:idx val="6"/>
        <c:spPr>
          <a:solidFill>
            <a:schemeClr val="accent1"/>
          </a:solidFill>
          <a:ln w="19050">
            <a:solidFill>
              <a:schemeClr val="lt1"/>
            </a:solidFill>
          </a:ln>
          <a:effectLst/>
        </c:spPr>
        <c:dLbl>
          <c:idx val="0"/>
          <c:layout>
            <c:manualLayout>
              <c:x val="-0.16833333333333333"/>
              <c:y val="0.131172839506172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222230971128609"/>
              <c:y val="-0.156966490299823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9936453835397083"/>
              <c:y val="-6.7903584244879939E-2"/>
            </c:manualLayout>
          </c:layout>
          <c:tx>
            <c:rich>
              <a:bodyPr rot="0" spcFirstLastPara="1" vertOverflow="ellipsis" vert="horz" wrap="square" lIns="108000" tIns="0" rIns="72000" bIns="19050" anchor="ctr" anchorCtr="0">
                <a:noAutofit/>
              </a:bodyPr>
              <a:lstStyle/>
              <a:p>
                <a:pPr algn="ctr" rtl="0">
                  <a:defRPr lang="en-US" sz="900" b="1" i="0" u="none" strike="noStrike" kern="1200" baseline="0">
                    <a:solidFill>
                      <a:sysClr val="windowText" lastClr="000000">
                        <a:lumMod val="75000"/>
                        <a:lumOff val="25000"/>
                      </a:sysClr>
                    </a:solidFill>
                    <a:latin typeface="+mn-lt"/>
                    <a:ea typeface="+mn-ea"/>
                    <a:cs typeface="+mn-cs"/>
                  </a:defRPr>
                </a:pPr>
                <a:fld id="{97ECFCE8-6068-4935-BABF-8F22FC71E7C7}" type="PERCENTAGE">
                  <a:rPr lang="en-US" sz="900" b="1" i="0" u="none" strike="noStrike" kern="1200" baseline="0">
                    <a:solidFill>
                      <a:sysClr val="windowText" lastClr="000000">
                        <a:lumMod val="75000"/>
                        <a:lumOff val="25000"/>
                      </a:sysClr>
                    </a:solidFill>
                    <a:latin typeface="+mn-lt"/>
                    <a:ea typeface="+mn-ea"/>
                    <a:cs typeface="+mn-cs"/>
                  </a:rPr>
                  <a:pPr algn="ctr" rtl="0">
                    <a:defRPr lang="en-US" b="1">
                      <a:solidFill>
                        <a:sysClr val="windowText" lastClr="000000">
                          <a:lumMod val="75000"/>
                          <a:lumOff val="25000"/>
                        </a:sysClr>
                      </a:solidFill>
                    </a:defRPr>
                  </a:pPr>
                  <a:t>[PERCENTAGE]</a:t>
                </a:fld>
                <a:endParaRPr lang="en-IN"/>
              </a:p>
            </c:rich>
          </c:tx>
          <c:spPr>
            <a:noFill/>
            <a:ln>
              <a:noFill/>
            </a:ln>
            <a:effectLst/>
          </c:spPr>
          <c:txPr>
            <a:bodyPr rot="0" spcFirstLastPara="1" vertOverflow="ellipsis" vert="horz" wrap="square" lIns="108000" tIns="0" rIns="72000" bIns="19050" anchor="ctr" anchorCtr="0">
              <a:noAutofit/>
            </a:bodyPr>
            <a:lstStyle/>
            <a:p>
              <a:pPr algn="ctr" rtl="0">
                <a:defRPr lang="en-US" sz="900" b="1" i="0" u="none" strike="noStrike" kern="1200" baseline="0">
                  <a:solidFill>
                    <a:sysClr val="windowText" lastClr="000000">
                      <a:lumMod val="75000"/>
                      <a:lumOff val="25000"/>
                    </a:sys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13693759172688483"/>
                  <c:h val="0.22880446824723435"/>
                </c:manualLayout>
              </c15:layout>
              <c15:dlblFieldTable/>
              <c15:showDataLabelsRange val="0"/>
            </c:ext>
          </c:extLst>
        </c:dLbl>
      </c:pivotFmt>
      <c:pivotFmt>
        <c:idx val="10"/>
        <c:spPr>
          <a:solidFill>
            <a:schemeClr val="accent1"/>
          </a:solidFill>
          <a:ln w="19050">
            <a:solidFill>
              <a:schemeClr val="lt1"/>
            </a:solidFill>
          </a:ln>
          <a:effectLst/>
        </c:spPr>
        <c:dLbl>
          <c:idx val="0"/>
          <c:layout>
            <c:manualLayout>
              <c:x val="-0.13278233885060964"/>
              <c:y val="5.052772658736806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4.5302183849669886E-2"/>
                  <c:h val="0.12005847415950151"/>
                </c:manualLayout>
              </c15:layout>
            </c:ext>
          </c:extLst>
        </c:dLbl>
      </c:pivotFmt>
      <c:pivotFmt>
        <c:idx val="11"/>
        <c:spPr>
          <a:solidFill>
            <a:schemeClr val="accent1"/>
          </a:solidFill>
          <a:ln w="19050">
            <a:solidFill>
              <a:schemeClr val="lt1"/>
            </a:solidFill>
          </a:ln>
          <a:effectLst/>
        </c:spPr>
        <c:dLbl>
          <c:idx val="0"/>
          <c:layout>
            <c:manualLayout>
              <c:x val="-0.16222230971128609"/>
              <c:y val="-0.156966490299823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7374261686055121"/>
          <c:y val="0.15519322953539522"/>
          <c:w val="0.28133820277290122"/>
          <c:h val="0.76040483357562461"/>
        </c:manualLayout>
      </c:layout>
      <c:doughnutChart>
        <c:varyColors val="1"/>
        <c:ser>
          <c:idx val="0"/>
          <c:order val="0"/>
          <c:tx>
            <c:strRef>
              <c:f>'Pivots '!$K$1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6B-49AA-AE5B-93D3B495DB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6B-49AA-AE5B-93D3B495DB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6B-49AA-AE5B-93D3B495DB04}"/>
              </c:ext>
            </c:extLst>
          </c:dPt>
          <c:dLbls>
            <c:dLbl>
              <c:idx val="0"/>
              <c:layout>
                <c:manualLayout>
                  <c:x val="0.19936453835397083"/>
                  <c:y val="-6.7903584244879939E-2"/>
                </c:manualLayout>
              </c:layout>
              <c:tx>
                <c:rich>
                  <a:bodyPr rot="0" spcFirstLastPara="1" vertOverflow="ellipsis" vert="horz" wrap="square" lIns="108000" tIns="0" rIns="72000" bIns="19050" anchor="ctr" anchorCtr="0">
                    <a:noAutofit/>
                  </a:bodyPr>
                  <a:lstStyle/>
                  <a:p>
                    <a:pPr algn="ctr" rtl="0">
                      <a:defRPr lang="en-US" sz="900" b="1" i="0" u="none" strike="noStrike" kern="1200" baseline="0">
                        <a:solidFill>
                          <a:sysClr val="windowText" lastClr="000000">
                            <a:lumMod val="75000"/>
                            <a:lumOff val="25000"/>
                          </a:sysClr>
                        </a:solidFill>
                        <a:latin typeface="+mn-lt"/>
                        <a:ea typeface="+mn-ea"/>
                        <a:cs typeface="+mn-cs"/>
                      </a:defRPr>
                    </a:pPr>
                    <a:fld id="{97ECFCE8-6068-4935-BABF-8F22FC71E7C7}" type="PERCENTAGE">
                      <a:rPr lang="en-US" sz="900" b="1" i="0" u="none" strike="noStrike" kern="1200" baseline="0">
                        <a:solidFill>
                          <a:sysClr val="windowText" lastClr="000000">
                            <a:lumMod val="75000"/>
                            <a:lumOff val="25000"/>
                          </a:sysClr>
                        </a:solidFill>
                        <a:latin typeface="+mn-lt"/>
                        <a:ea typeface="+mn-ea"/>
                        <a:cs typeface="+mn-cs"/>
                      </a:rPr>
                      <a:pPr algn="ctr" rtl="0">
                        <a:defRPr lang="en-US" b="1">
                          <a:solidFill>
                            <a:sysClr val="windowText" lastClr="000000">
                              <a:lumMod val="75000"/>
                              <a:lumOff val="25000"/>
                            </a:sysClr>
                          </a:solidFill>
                        </a:defRPr>
                      </a:pPr>
                      <a:t>[PERCENTAGE]</a:t>
                    </a:fld>
                    <a:endParaRPr lang="en-IN"/>
                  </a:p>
                </c:rich>
              </c:tx>
              <c:spPr>
                <a:noFill/>
                <a:ln>
                  <a:noFill/>
                </a:ln>
                <a:effectLst/>
              </c:spPr>
              <c:txPr>
                <a:bodyPr rot="0" spcFirstLastPara="1" vertOverflow="ellipsis" vert="horz" wrap="square" lIns="108000" tIns="0" rIns="72000" bIns="19050" anchor="ctr" anchorCtr="0">
                  <a:noAutofit/>
                </a:bodyPr>
                <a:lstStyle/>
                <a:p>
                  <a:pPr algn="ctr" rtl="0">
                    <a:defRPr lang="en-US" sz="900" b="1" i="0" u="none" strike="noStrike" kern="1200" baseline="0">
                      <a:solidFill>
                        <a:sysClr val="windowText" lastClr="000000">
                          <a:lumMod val="75000"/>
                          <a:lumOff val="25000"/>
                        </a:sys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13693759172688483"/>
                      <c:h val="0.22880446824723435"/>
                    </c:manualLayout>
                  </c15:layout>
                  <c15:dlblFieldTable/>
                  <c15:showDataLabelsRange val="0"/>
                </c:ext>
                <c:ext xmlns:c16="http://schemas.microsoft.com/office/drawing/2014/chart" uri="{C3380CC4-5D6E-409C-BE32-E72D297353CC}">
                  <c16:uniqueId val="{00000001-486B-49AA-AE5B-93D3B495DB04}"/>
                </c:ext>
              </c:extLst>
            </c:dLbl>
            <c:dLbl>
              <c:idx val="1"/>
              <c:layout>
                <c:manualLayout>
                  <c:x val="-0.13278233885060964"/>
                  <c:y val="5.052772658736806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4.5302183849669886E-2"/>
                      <c:h val="0.12005847415950151"/>
                    </c:manualLayout>
                  </c15:layout>
                </c:ext>
                <c:ext xmlns:c16="http://schemas.microsoft.com/office/drawing/2014/chart" uri="{C3380CC4-5D6E-409C-BE32-E72D297353CC}">
                  <c16:uniqueId val="{00000003-486B-49AA-AE5B-93D3B495DB04}"/>
                </c:ext>
              </c:extLst>
            </c:dLbl>
            <c:dLbl>
              <c:idx val="2"/>
              <c:layout>
                <c:manualLayout>
                  <c:x val="-0.16222230971128609"/>
                  <c:y val="-0.1569664902998236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86B-49AA-AE5B-93D3B495DB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19050" cap="sq" cmpd="sng" algn="ctr">
                  <a:solidFill>
                    <a:schemeClr val="tx1"/>
                  </a:solidFill>
                  <a:bevel/>
                  <a:headEnd w="lg" len="med"/>
                </a:ln>
                <a:effectLst>
                  <a:glow>
                    <a:schemeClr val="bg1"/>
                  </a:glow>
                  <a:softEdge rad="0"/>
                </a:effectLst>
              </c:spPr>
            </c:leaderLines>
            <c:extLst>
              <c:ext xmlns:c15="http://schemas.microsoft.com/office/drawing/2012/chart" uri="{CE6537A1-D6FC-4f65-9D91-7224C49458BB}"/>
            </c:extLst>
          </c:dLbls>
          <c:cat>
            <c:strRef>
              <c:f>'Pivots '!$J$2:$J$5</c:f>
              <c:strCache>
                <c:ptCount val="3"/>
                <c:pt idx="0">
                  <c:v>Large</c:v>
                </c:pt>
                <c:pt idx="1">
                  <c:v>Medium</c:v>
                </c:pt>
                <c:pt idx="2">
                  <c:v>Small</c:v>
                </c:pt>
              </c:strCache>
            </c:strRef>
          </c:cat>
          <c:val>
            <c:numRef>
              <c:f>'Pivots '!$K$2:$K$5</c:f>
              <c:numCache>
                <c:formatCode>General</c:formatCode>
                <c:ptCount val="3"/>
                <c:pt idx="0">
                  <c:v>385225.84</c:v>
                </c:pt>
                <c:pt idx="1">
                  <c:v>858879.42000000016</c:v>
                </c:pt>
                <c:pt idx="2">
                  <c:v>164560.22000000003</c:v>
                </c:pt>
              </c:numCache>
            </c:numRef>
          </c:val>
          <c:extLst>
            <c:ext xmlns:c16="http://schemas.microsoft.com/office/drawing/2014/chart" uri="{C3380CC4-5D6E-409C-BE32-E72D297353CC}">
              <c16:uniqueId val="{00000006-486B-49AA-AE5B-93D3B495DB04}"/>
            </c:ext>
          </c:extLst>
        </c:ser>
        <c:dLbls>
          <c:showLegendKey val="0"/>
          <c:showVal val="1"/>
          <c:showCatName val="0"/>
          <c:showSerName val="0"/>
          <c:showPercent val="0"/>
          <c:showBubbleSize val="0"/>
          <c:showLeaderLines val="1"/>
        </c:dLbls>
        <c:firstSliceAng val="0"/>
        <c:holeSize val="44"/>
      </c:doughnutChart>
      <c:spPr>
        <a:noFill/>
        <a:ln>
          <a:noFill/>
        </a:ln>
        <a:effectLst/>
      </c:spPr>
    </c:plotArea>
    <c:legend>
      <c:legendPos val="t"/>
      <c:layout>
        <c:manualLayout>
          <c:xMode val="edge"/>
          <c:yMode val="edge"/>
          <c:x val="0.35251536612773582"/>
          <c:y val="6.207961564859301E-2"/>
          <c:w val="0.28862086754137956"/>
          <c:h val="6.47739125265484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[Classic_Models_Sales_Analysis_Dashboard.xlsx]Pivots !Territory-Analysis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territory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'!$H$1</c:f>
              <c:strCache>
                <c:ptCount val="1"/>
                <c:pt idx="0">
                  <c:v>Total</c:v>
                </c:pt>
              </c:strCache>
            </c:strRef>
          </c:tx>
          <c:spPr>
            <a:solidFill>
              <a:schemeClr val="accent1"/>
            </a:solidFill>
            <a:ln>
              <a:noFill/>
            </a:ln>
            <a:effectLst/>
          </c:spPr>
          <c:invertIfNegative val="0"/>
          <c:cat>
            <c:strRef>
              <c:f>'Pivots '!$G$2:$G$6</c:f>
              <c:strCache>
                <c:ptCount val="4"/>
                <c:pt idx="0">
                  <c:v>EMEA</c:v>
                </c:pt>
                <c:pt idx="1">
                  <c:v>NA</c:v>
                </c:pt>
                <c:pt idx="2">
                  <c:v>APAC</c:v>
                </c:pt>
                <c:pt idx="3">
                  <c:v>Japan</c:v>
                </c:pt>
              </c:strCache>
            </c:strRef>
          </c:cat>
          <c:val>
            <c:numRef>
              <c:f>'Pivots '!$H$2:$H$6</c:f>
              <c:numCache>
                <c:formatCode>General</c:formatCode>
                <c:ptCount val="4"/>
                <c:pt idx="0">
                  <c:v>682622.93</c:v>
                </c:pt>
                <c:pt idx="1">
                  <c:v>556969.97</c:v>
                </c:pt>
                <c:pt idx="2">
                  <c:v>93500.980000000025</c:v>
                </c:pt>
                <c:pt idx="3">
                  <c:v>75571.600000000006</c:v>
                </c:pt>
              </c:numCache>
            </c:numRef>
          </c:val>
          <c:extLst>
            <c:ext xmlns:c16="http://schemas.microsoft.com/office/drawing/2014/chart" uri="{C3380CC4-5D6E-409C-BE32-E72D297353CC}">
              <c16:uniqueId val="{00000000-7D7C-4D18-B90B-2C85B180FBAB}"/>
            </c:ext>
          </c:extLst>
        </c:ser>
        <c:dLbls>
          <c:showLegendKey val="0"/>
          <c:showVal val="0"/>
          <c:showCatName val="0"/>
          <c:showSerName val="0"/>
          <c:showPercent val="0"/>
          <c:showBubbleSize val="0"/>
        </c:dLbls>
        <c:gapWidth val="64"/>
        <c:overlap val="-27"/>
        <c:axId val="681164736"/>
        <c:axId val="556365008"/>
      </c:barChart>
      <c:catAx>
        <c:axId val="68116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365008"/>
        <c:crosses val="autoZero"/>
        <c:auto val="1"/>
        <c:lblAlgn val="ctr"/>
        <c:lblOffset val="100"/>
        <c:noMultiLvlLbl val="0"/>
      </c:catAx>
      <c:valAx>
        <c:axId val="55636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6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313266</xdr:colOff>
      <xdr:row>0</xdr:row>
      <xdr:rowOff>53340</xdr:rowOff>
    </xdr:from>
    <xdr:to>
      <xdr:col>36</xdr:col>
      <xdr:colOff>182880</xdr:colOff>
      <xdr:row>2</xdr:row>
      <xdr:rowOff>0</xdr:rowOff>
    </xdr:to>
    <xdr:sp macro="" textlink="">
      <xdr:nvSpPr>
        <xdr:cNvPr id="2" name="Rectangle: Rounded Corners 1">
          <a:extLst>
            <a:ext uri="{FF2B5EF4-FFF2-40B4-BE49-F238E27FC236}">
              <a16:creationId xmlns:a16="http://schemas.microsoft.com/office/drawing/2014/main" id="{42BC6ECD-FF49-33AD-CDD6-D6F8E6F9D8C9}"/>
            </a:ext>
          </a:extLst>
        </xdr:cNvPr>
        <xdr:cNvSpPr/>
      </xdr:nvSpPr>
      <xdr:spPr>
        <a:xfrm>
          <a:off x="4991946" y="53340"/>
          <a:ext cx="20306454" cy="31242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latin typeface="+mn-lt"/>
            </a:rPr>
            <a:t>Executive</a:t>
          </a:r>
          <a:r>
            <a:rPr lang="en-IN" sz="1200" b="1" baseline="0">
              <a:solidFill>
                <a:schemeClr val="tx1"/>
              </a:solidFill>
              <a:latin typeface="+mn-lt"/>
            </a:rPr>
            <a:t> Sales Dashboard</a:t>
          </a:r>
          <a:endParaRPr lang="en-IN" sz="1200" b="1">
            <a:solidFill>
              <a:schemeClr val="tx1"/>
            </a:solidFill>
            <a:latin typeface="+mn-lt"/>
          </a:endParaRPr>
        </a:p>
      </xdr:txBody>
    </xdr:sp>
    <xdr:clientData/>
  </xdr:twoCellAnchor>
  <xdr:twoCellAnchor>
    <xdr:from>
      <xdr:col>3</xdr:col>
      <xdr:colOff>52494</xdr:colOff>
      <xdr:row>2</xdr:row>
      <xdr:rowOff>139699</xdr:rowOff>
    </xdr:from>
    <xdr:to>
      <xdr:col>6</xdr:col>
      <xdr:colOff>206828</xdr:colOff>
      <xdr:row>6</xdr:row>
      <xdr:rowOff>21771</xdr:rowOff>
    </xdr:to>
    <xdr:sp macro="" textlink="'Pivots '!G24">
      <xdr:nvSpPr>
        <xdr:cNvPr id="8" name="Rectangle: Rounded Corners 7">
          <a:extLst>
            <a:ext uri="{FF2B5EF4-FFF2-40B4-BE49-F238E27FC236}">
              <a16:creationId xmlns:a16="http://schemas.microsoft.com/office/drawing/2014/main" id="{12ECFA67-13FE-8367-539A-A686123BB60E}"/>
            </a:ext>
          </a:extLst>
        </xdr:cNvPr>
        <xdr:cNvSpPr/>
      </xdr:nvSpPr>
      <xdr:spPr>
        <a:xfrm>
          <a:off x="1815980" y="509813"/>
          <a:ext cx="1983134" cy="622301"/>
        </a:xfrm>
        <a:prstGeom prst="roundRect">
          <a:avLst/>
        </a:prstGeom>
        <a:solidFill>
          <a:schemeClr val="accent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bg1"/>
              </a:solidFill>
              <a:latin typeface="Calibri"/>
              <a:ea typeface="Calibri"/>
              <a:cs typeface="Calibri"/>
            </a:rPr>
            <a:t>Total Sales</a:t>
          </a:r>
        </a:p>
        <a:p>
          <a:pPr marL="0" indent="0" algn="ctr"/>
          <a:fld id="{E4EEDB39-BF43-432C-9B80-C4B94DDA133C}" type="TxLink">
            <a:rPr lang="en-US" sz="1200" b="1" i="0" u="none" strike="noStrike">
              <a:solidFill>
                <a:schemeClr val="bg1"/>
              </a:solidFill>
              <a:latin typeface="Calibri"/>
              <a:ea typeface="Calibri"/>
              <a:cs typeface="Calibri"/>
            </a:rPr>
            <a:pPr marL="0" indent="0" algn="ctr"/>
            <a:t>$1.41M</a:t>
          </a:fld>
          <a:endParaRPr lang="en-IN" sz="1200" b="1" i="0" u="none" strike="noStrike">
            <a:solidFill>
              <a:schemeClr val="bg1"/>
            </a:solidFill>
            <a:latin typeface="Calibri"/>
            <a:ea typeface="Calibri"/>
            <a:cs typeface="Calibri"/>
          </a:endParaRPr>
        </a:p>
      </xdr:txBody>
    </xdr:sp>
    <xdr:clientData/>
  </xdr:twoCellAnchor>
  <xdr:twoCellAnchor>
    <xdr:from>
      <xdr:col>9</xdr:col>
      <xdr:colOff>211182</xdr:colOff>
      <xdr:row>2</xdr:row>
      <xdr:rowOff>143692</xdr:rowOff>
    </xdr:from>
    <xdr:to>
      <xdr:col>12</xdr:col>
      <xdr:colOff>330925</xdr:colOff>
      <xdr:row>5</xdr:row>
      <xdr:rowOff>174171</xdr:rowOff>
    </xdr:to>
    <xdr:sp macro="" textlink="'Pivots '!H24">
      <xdr:nvSpPr>
        <xdr:cNvPr id="9" name="Rectangle: Rounded Corners 8">
          <a:extLst>
            <a:ext uri="{FF2B5EF4-FFF2-40B4-BE49-F238E27FC236}">
              <a16:creationId xmlns:a16="http://schemas.microsoft.com/office/drawing/2014/main" id="{C0FF81A1-409C-E999-4739-D2FF0A2B14E8}"/>
            </a:ext>
          </a:extLst>
        </xdr:cNvPr>
        <xdr:cNvSpPr/>
      </xdr:nvSpPr>
      <xdr:spPr>
        <a:xfrm>
          <a:off x="8867502" y="509452"/>
          <a:ext cx="1948543" cy="579119"/>
        </a:xfrm>
        <a:prstGeom prst="roundRect">
          <a:avLst/>
        </a:prstGeom>
        <a:solidFill>
          <a:schemeClr val="accent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Total</a:t>
          </a:r>
          <a:r>
            <a:rPr lang="en-US" sz="1200" b="1" i="0" u="none" strike="noStrike" baseline="0">
              <a:solidFill>
                <a:schemeClr val="bg1"/>
              </a:solidFill>
              <a:latin typeface="Calibri"/>
              <a:ea typeface="Calibri"/>
              <a:cs typeface="Calibri"/>
            </a:rPr>
            <a:t> Order                   </a:t>
          </a:r>
        </a:p>
        <a:p>
          <a:pPr algn="ctr"/>
          <a:fld id="{4936BFB4-1F84-4168-B045-176B3C5C2F50}" type="TxLink">
            <a:rPr lang="en-US" sz="1200" b="1" i="0" u="none" strike="noStrike">
              <a:solidFill>
                <a:schemeClr val="bg1"/>
              </a:solidFill>
              <a:latin typeface="Calibri"/>
              <a:ea typeface="Calibri"/>
              <a:cs typeface="Calibri"/>
            </a:rPr>
            <a:pPr algn="ctr"/>
            <a:t>307</a:t>
          </a:fld>
          <a:endParaRPr lang="en-IN" sz="1200" b="1">
            <a:solidFill>
              <a:schemeClr val="bg1"/>
            </a:solidFill>
          </a:endParaRPr>
        </a:p>
      </xdr:txBody>
    </xdr:sp>
    <xdr:clientData/>
  </xdr:twoCellAnchor>
  <xdr:twoCellAnchor>
    <xdr:from>
      <xdr:col>15</xdr:col>
      <xdr:colOff>158932</xdr:colOff>
      <xdr:row>2</xdr:row>
      <xdr:rowOff>158328</xdr:rowOff>
    </xdr:from>
    <xdr:to>
      <xdr:col>18</xdr:col>
      <xdr:colOff>191588</xdr:colOff>
      <xdr:row>6</xdr:row>
      <xdr:rowOff>6532</xdr:rowOff>
    </xdr:to>
    <xdr:sp macro="" textlink="'Pivots '!I24">
      <xdr:nvSpPr>
        <xdr:cNvPr id="10" name="Rectangle: Rounded Corners 9">
          <a:extLst>
            <a:ext uri="{FF2B5EF4-FFF2-40B4-BE49-F238E27FC236}">
              <a16:creationId xmlns:a16="http://schemas.microsoft.com/office/drawing/2014/main" id="{58730A9C-C50B-FC8C-D349-46787C7C23DF}"/>
            </a:ext>
          </a:extLst>
        </xdr:cNvPr>
        <xdr:cNvSpPr/>
      </xdr:nvSpPr>
      <xdr:spPr>
        <a:xfrm>
          <a:off x="12472852" y="524088"/>
          <a:ext cx="1861456" cy="579724"/>
        </a:xfrm>
        <a:prstGeom prst="roundRect">
          <a:avLst/>
        </a:prstGeom>
        <a:solidFill>
          <a:schemeClr val="accent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bg1"/>
              </a:solidFill>
              <a:latin typeface="Calibri"/>
              <a:ea typeface="Calibri"/>
              <a:cs typeface="Calibri"/>
            </a:rPr>
            <a:t>Total Quantity Sold </a:t>
          </a:r>
        </a:p>
        <a:p>
          <a:pPr marL="0" indent="0" algn="ctr"/>
          <a:fld id="{225451C1-9471-41B3-992A-483C5610A14C}" type="TxLink">
            <a:rPr lang="en-US" sz="1200" b="1" i="0" u="none" strike="noStrike">
              <a:solidFill>
                <a:schemeClr val="bg1"/>
              </a:solidFill>
              <a:latin typeface="Calibri"/>
              <a:ea typeface="Calibri"/>
              <a:cs typeface="Calibri"/>
            </a:rPr>
            <a:pPr marL="0" indent="0" algn="ctr"/>
            <a:t>$10.8K</a:t>
          </a:fld>
          <a:endParaRPr lang="en-US" sz="1200" b="1" i="0" u="none" strike="noStrike">
            <a:solidFill>
              <a:schemeClr val="bg1"/>
            </a:solidFill>
            <a:latin typeface="Calibri"/>
            <a:ea typeface="Calibri"/>
            <a:cs typeface="Calibri"/>
          </a:endParaRPr>
        </a:p>
      </xdr:txBody>
    </xdr:sp>
    <xdr:clientData/>
  </xdr:twoCellAnchor>
  <xdr:twoCellAnchor>
    <xdr:from>
      <xdr:col>21</xdr:col>
      <xdr:colOff>178647</xdr:colOff>
      <xdr:row>2</xdr:row>
      <xdr:rowOff>121073</xdr:rowOff>
    </xdr:from>
    <xdr:to>
      <xdr:col>24</xdr:col>
      <xdr:colOff>158931</xdr:colOff>
      <xdr:row>6</xdr:row>
      <xdr:rowOff>6531</xdr:rowOff>
    </xdr:to>
    <xdr:sp macro="" textlink="'Pivots '!J24">
      <xdr:nvSpPr>
        <xdr:cNvPr id="11" name="Rectangle: Rounded Corners 10">
          <a:extLst>
            <a:ext uri="{FF2B5EF4-FFF2-40B4-BE49-F238E27FC236}">
              <a16:creationId xmlns:a16="http://schemas.microsoft.com/office/drawing/2014/main" id="{C67D6444-7EBE-8468-3D2C-E102B2F55C85}"/>
            </a:ext>
          </a:extLst>
        </xdr:cNvPr>
        <xdr:cNvSpPr/>
      </xdr:nvSpPr>
      <xdr:spPr>
        <a:xfrm>
          <a:off x="16150167" y="486833"/>
          <a:ext cx="1809084" cy="616978"/>
        </a:xfrm>
        <a:prstGeom prst="roundRect">
          <a:avLst/>
        </a:prstGeom>
        <a:solidFill>
          <a:schemeClr val="accent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bg1"/>
              </a:solidFill>
              <a:latin typeface="Calibri"/>
              <a:ea typeface="Calibri"/>
              <a:cs typeface="Calibri"/>
            </a:rPr>
            <a:t>Toal Customer    </a:t>
          </a:r>
        </a:p>
        <a:p>
          <a:pPr marL="0" indent="0" algn="ctr"/>
          <a:r>
            <a:rPr lang="en-US" sz="1200" b="1" i="0" u="none" strike="noStrike">
              <a:solidFill>
                <a:schemeClr val="bg1"/>
              </a:solidFill>
              <a:latin typeface="Calibri"/>
              <a:ea typeface="Calibri"/>
              <a:cs typeface="Calibri"/>
            </a:rPr>
            <a:t>    </a:t>
          </a:r>
          <a:fld id="{D98B6F83-C6F4-42FB-99ED-CC8CC24E5DEF}" type="TxLink">
            <a:rPr lang="en-US" sz="1200" b="1" i="0" u="none" strike="noStrike">
              <a:solidFill>
                <a:schemeClr val="bg1"/>
              </a:solidFill>
              <a:latin typeface="Calibri"/>
              <a:ea typeface="Calibri"/>
              <a:cs typeface="Calibri"/>
            </a:rPr>
            <a:pPr marL="0" indent="0" algn="ctr"/>
            <a:t>92</a:t>
          </a:fld>
          <a:endParaRPr lang="en-IN" sz="1200" b="1" i="0" u="none" strike="noStrike">
            <a:solidFill>
              <a:schemeClr val="bg1"/>
            </a:solidFill>
            <a:latin typeface="Calibri"/>
            <a:ea typeface="Calibri"/>
            <a:cs typeface="Calibri"/>
          </a:endParaRPr>
        </a:p>
      </xdr:txBody>
    </xdr:sp>
    <xdr:clientData/>
  </xdr:twoCellAnchor>
  <xdr:twoCellAnchor>
    <xdr:from>
      <xdr:col>27</xdr:col>
      <xdr:colOff>38099</xdr:colOff>
      <xdr:row>2</xdr:row>
      <xdr:rowOff>88900</xdr:rowOff>
    </xdr:from>
    <xdr:to>
      <xdr:col>30</xdr:col>
      <xdr:colOff>87084</xdr:colOff>
      <xdr:row>5</xdr:row>
      <xdr:rowOff>65314</xdr:rowOff>
    </xdr:to>
    <xdr:sp macro="" textlink="'Pivots '!K24">
      <xdr:nvSpPr>
        <xdr:cNvPr id="12" name="Rectangle: Rounded Corners 11">
          <a:extLst>
            <a:ext uri="{FF2B5EF4-FFF2-40B4-BE49-F238E27FC236}">
              <a16:creationId xmlns:a16="http://schemas.microsoft.com/office/drawing/2014/main" id="{2776CF2C-4ECA-7936-79FD-300C254BE5DD}"/>
            </a:ext>
          </a:extLst>
        </xdr:cNvPr>
        <xdr:cNvSpPr/>
      </xdr:nvSpPr>
      <xdr:spPr>
        <a:xfrm>
          <a:off x="16431985" y="459014"/>
          <a:ext cx="1877785" cy="531586"/>
        </a:xfrm>
        <a:prstGeom prst="roundRect">
          <a:avLst/>
        </a:prstGeom>
        <a:solidFill>
          <a:schemeClr val="accent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bg1"/>
              </a:solidFill>
              <a:latin typeface="Calibri"/>
              <a:ea typeface="Calibri"/>
              <a:cs typeface="Calibri"/>
            </a:rPr>
            <a:t>Average Order Value</a:t>
          </a:r>
        </a:p>
        <a:p>
          <a:pPr marL="0" indent="0" algn="ctr"/>
          <a:fld id="{29A14D11-FA87-4390-AF48-FD536E60CC22}" type="TxLink">
            <a:rPr lang="en-US" sz="1200" b="1" i="0" u="none" strike="noStrike">
              <a:solidFill>
                <a:schemeClr val="bg1"/>
              </a:solidFill>
              <a:latin typeface="Calibri"/>
              <a:ea typeface="Calibri"/>
              <a:cs typeface="Calibri"/>
            </a:rPr>
            <a:pPr marL="0" indent="0" algn="ctr"/>
            <a:t>$4.59K</a:t>
          </a:fld>
          <a:endParaRPr lang="en-IN" sz="1200" b="1" i="0" u="none" strike="noStrike">
            <a:solidFill>
              <a:schemeClr val="bg1"/>
            </a:solidFill>
            <a:latin typeface="Calibri"/>
            <a:ea typeface="Calibri"/>
            <a:cs typeface="Calibri"/>
          </a:endParaRPr>
        </a:p>
      </xdr:txBody>
    </xdr:sp>
    <xdr:clientData/>
  </xdr:twoCellAnchor>
  <xdr:twoCellAnchor>
    <xdr:from>
      <xdr:col>33</xdr:col>
      <xdr:colOff>57210</xdr:colOff>
      <xdr:row>2</xdr:row>
      <xdr:rowOff>108252</xdr:rowOff>
    </xdr:from>
    <xdr:to>
      <xdr:col>36</xdr:col>
      <xdr:colOff>213360</xdr:colOff>
      <xdr:row>6</xdr:row>
      <xdr:rowOff>30479</xdr:rowOff>
    </xdr:to>
    <xdr:sp macro="" textlink="'Pivots '!L24">
      <xdr:nvSpPr>
        <xdr:cNvPr id="13" name="Rectangle: Rounded Corners 12">
          <a:extLst>
            <a:ext uri="{FF2B5EF4-FFF2-40B4-BE49-F238E27FC236}">
              <a16:creationId xmlns:a16="http://schemas.microsoft.com/office/drawing/2014/main" id="{E4D5F19D-D053-C67B-E14B-D3435415CE01}"/>
            </a:ext>
          </a:extLst>
        </xdr:cNvPr>
        <xdr:cNvSpPr/>
      </xdr:nvSpPr>
      <xdr:spPr>
        <a:xfrm>
          <a:off x="23343930" y="474012"/>
          <a:ext cx="1984950" cy="653747"/>
        </a:xfrm>
        <a:prstGeom prst="roundRect">
          <a:avLst/>
        </a:prstGeom>
        <a:solidFill>
          <a:schemeClr val="accent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bg1"/>
              </a:solidFill>
              <a:latin typeface="Calibri"/>
              <a:ea typeface="Calibri"/>
              <a:cs typeface="Calibri"/>
            </a:rPr>
            <a:t>Average Selling Price</a:t>
          </a:r>
        </a:p>
        <a:p>
          <a:pPr marL="0" indent="0" algn="ctr"/>
          <a:fld id="{6BB3309B-A0EF-4360-A61F-441DCAE096DA}" type="TxLink">
            <a:rPr lang="en-US" sz="1200" b="1" i="0" u="none" strike="noStrike">
              <a:solidFill>
                <a:schemeClr val="bg1"/>
              </a:solidFill>
              <a:latin typeface="Calibri"/>
              <a:ea typeface="Calibri"/>
              <a:cs typeface="Calibri"/>
            </a:rPr>
            <a:pPr marL="0" indent="0" algn="ctr"/>
            <a:t>$130.34</a:t>
          </a:fld>
          <a:endParaRPr lang="en-IN" sz="1200" b="1" i="0" u="none" strike="noStrike">
            <a:solidFill>
              <a:schemeClr val="bg1"/>
            </a:solidFill>
            <a:latin typeface="Calibri"/>
            <a:ea typeface="Calibri"/>
            <a:cs typeface="Calibri"/>
          </a:endParaRPr>
        </a:p>
      </xdr:txBody>
    </xdr:sp>
    <xdr:clientData/>
  </xdr:twoCellAnchor>
  <xdr:twoCellAnchor>
    <xdr:from>
      <xdr:col>0</xdr:col>
      <xdr:colOff>91440</xdr:colOff>
      <xdr:row>0</xdr:row>
      <xdr:rowOff>0</xdr:rowOff>
    </xdr:from>
    <xdr:to>
      <xdr:col>2</xdr:col>
      <xdr:colOff>68580</xdr:colOff>
      <xdr:row>63</xdr:row>
      <xdr:rowOff>7620</xdr:rowOff>
    </xdr:to>
    <xdr:sp macro="" textlink="">
      <xdr:nvSpPr>
        <xdr:cNvPr id="14" name="Rectangle 13">
          <a:extLst>
            <a:ext uri="{FF2B5EF4-FFF2-40B4-BE49-F238E27FC236}">
              <a16:creationId xmlns:a16="http://schemas.microsoft.com/office/drawing/2014/main" id="{69F29CA8-64AE-CC98-90B8-55F473C4516A}"/>
            </a:ext>
          </a:extLst>
        </xdr:cNvPr>
        <xdr:cNvSpPr/>
      </xdr:nvSpPr>
      <xdr:spPr>
        <a:xfrm>
          <a:off x="91440" y="0"/>
          <a:ext cx="4655820" cy="11529060"/>
        </a:xfrm>
        <a:prstGeom prst="rect">
          <a:avLst/>
        </a:prstGeom>
        <a:solidFill>
          <a:schemeClr val="accent3">
            <a:lumMod val="60000"/>
            <a:lumOff val="4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190500</xdr:colOff>
      <xdr:row>6</xdr:row>
      <xdr:rowOff>167640</xdr:rowOff>
    </xdr:from>
    <xdr:to>
      <xdr:col>13</xdr:col>
      <xdr:colOff>274320</xdr:colOff>
      <xdr:row>22</xdr:row>
      <xdr:rowOff>0</xdr:rowOff>
    </xdr:to>
    <xdr:sp macro="" textlink="">
      <xdr:nvSpPr>
        <xdr:cNvPr id="15" name="Rectangle: Rounded Corners 14">
          <a:extLst>
            <a:ext uri="{FF2B5EF4-FFF2-40B4-BE49-F238E27FC236}">
              <a16:creationId xmlns:a16="http://schemas.microsoft.com/office/drawing/2014/main" id="{212D5052-4B65-1255-6050-4E4CF251DD8E}"/>
            </a:ext>
          </a:extLst>
        </xdr:cNvPr>
        <xdr:cNvSpPr/>
      </xdr:nvSpPr>
      <xdr:spPr>
        <a:xfrm>
          <a:off x="1638300" y="1264920"/>
          <a:ext cx="6492240" cy="275844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68580</xdr:colOff>
      <xdr:row>7</xdr:row>
      <xdr:rowOff>137160</xdr:rowOff>
    </xdr:from>
    <xdr:to>
      <xdr:col>12</xdr:col>
      <xdr:colOff>533400</xdr:colOff>
      <xdr:row>20</xdr:row>
      <xdr:rowOff>175260</xdr:rowOff>
    </xdr:to>
    <xdr:graphicFrame macro="">
      <xdr:nvGraphicFramePr>
        <xdr:cNvPr id="16" name="Chart 15">
          <a:extLst>
            <a:ext uri="{FF2B5EF4-FFF2-40B4-BE49-F238E27FC236}">
              <a16:creationId xmlns:a16="http://schemas.microsoft.com/office/drawing/2014/main" id="{CBDA833A-3726-4D0C-BDB6-C251CC745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495300</xdr:colOff>
      <xdr:row>6</xdr:row>
      <xdr:rowOff>137160</xdr:rowOff>
    </xdr:from>
    <xdr:to>
      <xdr:col>26</xdr:col>
      <xdr:colOff>320040</xdr:colOff>
      <xdr:row>22</xdr:row>
      <xdr:rowOff>127000</xdr:rowOff>
    </xdr:to>
    <xdr:sp macro="" textlink="">
      <xdr:nvSpPr>
        <xdr:cNvPr id="17" name="Rectangle: Rounded Corners 16">
          <a:extLst>
            <a:ext uri="{FF2B5EF4-FFF2-40B4-BE49-F238E27FC236}">
              <a16:creationId xmlns:a16="http://schemas.microsoft.com/office/drawing/2014/main" id="{EFD7E0E1-FD02-98FB-63E3-42B6BBDC5125}"/>
            </a:ext>
          </a:extLst>
        </xdr:cNvPr>
        <xdr:cNvSpPr/>
      </xdr:nvSpPr>
      <xdr:spPr>
        <a:xfrm>
          <a:off x="11590020" y="1234440"/>
          <a:ext cx="7749540" cy="291592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254000</xdr:colOff>
      <xdr:row>6</xdr:row>
      <xdr:rowOff>152401</xdr:rowOff>
    </xdr:from>
    <xdr:to>
      <xdr:col>26</xdr:col>
      <xdr:colOff>114300</xdr:colOff>
      <xdr:row>22</xdr:row>
      <xdr:rowOff>25401</xdr:rowOff>
    </xdr:to>
    <xdr:graphicFrame macro="">
      <xdr:nvGraphicFramePr>
        <xdr:cNvPr id="18" name="Chart 17">
          <a:extLst>
            <a:ext uri="{FF2B5EF4-FFF2-40B4-BE49-F238E27FC236}">
              <a16:creationId xmlns:a16="http://schemas.microsoft.com/office/drawing/2014/main" id="{B93F26E2-5BEF-4591-8057-55FDE90F9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444500</xdr:colOff>
      <xdr:row>6</xdr:row>
      <xdr:rowOff>106680</xdr:rowOff>
    </xdr:from>
    <xdr:to>
      <xdr:col>36</xdr:col>
      <xdr:colOff>304800</xdr:colOff>
      <xdr:row>23</xdr:row>
      <xdr:rowOff>139700</xdr:rowOff>
    </xdr:to>
    <xdr:sp macro="" textlink="">
      <xdr:nvSpPr>
        <xdr:cNvPr id="22" name="Rectangle: Rounded Corners 21">
          <a:extLst>
            <a:ext uri="{FF2B5EF4-FFF2-40B4-BE49-F238E27FC236}">
              <a16:creationId xmlns:a16="http://schemas.microsoft.com/office/drawing/2014/main" id="{C809DB1F-A726-955F-B216-CF897B7459A0}"/>
            </a:ext>
          </a:extLst>
        </xdr:cNvPr>
        <xdr:cNvSpPr/>
      </xdr:nvSpPr>
      <xdr:spPr>
        <a:xfrm>
          <a:off x="19464020" y="1203960"/>
          <a:ext cx="5956300" cy="314198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596901</xdr:colOff>
      <xdr:row>6</xdr:row>
      <xdr:rowOff>38100</xdr:rowOff>
    </xdr:from>
    <xdr:to>
      <xdr:col>35</xdr:col>
      <xdr:colOff>469900</xdr:colOff>
      <xdr:row>23</xdr:row>
      <xdr:rowOff>127000</xdr:rowOff>
    </xdr:to>
    <xdr:graphicFrame macro="">
      <xdr:nvGraphicFramePr>
        <xdr:cNvPr id="23" name="Chart 22">
          <a:extLst>
            <a:ext uri="{FF2B5EF4-FFF2-40B4-BE49-F238E27FC236}">
              <a16:creationId xmlns:a16="http://schemas.microsoft.com/office/drawing/2014/main" id="{2D82FF3F-7FF4-4F21-9A88-D75929ABF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318863</xdr:colOff>
      <xdr:row>23</xdr:row>
      <xdr:rowOff>88900</xdr:rowOff>
    </xdr:from>
    <xdr:to>
      <xdr:col>26</xdr:col>
      <xdr:colOff>469901</xdr:colOff>
      <xdr:row>43</xdr:row>
      <xdr:rowOff>36285</xdr:rowOff>
    </xdr:to>
    <xdr:sp macro="" textlink="">
      <xdr:nvSpPr>
        <xdr:cNvPr id="3" name="Rectangle: Rounded Corners 2">
          <a:extLst>
            <a:ext uri="{FF2B5EF4-FFF2-40B4-BE49-F238E27FC236}">
              <a16:creationId xmlns:a16="http://schemas.microsoft.com/office/drawing/2014/main" id="{745DC7DF-D708-A294-CB53-BBC0FA83F7C9}"/>
            </a:ext>
          </a:extLst>
        </xdr:cNvPr>
        <xdr:cNvSpPr/>
      </xdr:nvSpPr>
      <xdr:spPr>
        <a:xfrm>
          <a:off x="8180163" y="4178300"/>
          <a:ext cx="8075838" cy="3503385"/>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580573</xdr:colOff>
      <xdr:row>23</xdr:row>
      <xdr:rowOff>35379</xdr:rowOff>
    </xdr:from>
    <xdr:to>
      <xdr:col>25</xdr:col>
      <xdr:colOff>402771</xdr:colOff>
      <xdr:row>41</xdr:row>
      <xdr:rowOff>92530</xdr:rowOff>
    </xdr:to>
    <xdr:graphicFrame macro="">
      <xdr:nvGraphicFramePr>
        <xdr:cNvPr id="4" name="Chart 3">
          <a:extLst>
            <a:ext uri="{FF2B5EF4-FFF2-40B4-BE49-F238E27FC236}">
              <a16:creationId xmlns:a16="http://schemas.microsoft.com/office/drawing/2014/main" id="{E79089D9-4E89-42FD-8B7E-482E440CD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101600</xdr:colOff>
      <xdr:row>23</xdr:row>
      <xdr:rowOff>0</xdr:rowOff>
    </xdr:from>
    <xdr:to>
      <xdr:col>13</xdr:col>
      <xdr:colOff>228600</xdr:colOff>
      <xdr:row>43</xdr:row>
      <xdr:rowOff>91440</xdr:rowOff>
    </xdr:to>
    <xdr:sp macro="" textlink="">
      <xdr:nvSpPr>
        <xdr:cNvPr id="5" name="Rectangle: Rounded Corners 4">
          <a:extLst>
            <a:ext uri="{FF2B5EF4-FFF2-40B4-BE49-F238E27FC236}">
              <a16:creationId xmlns:a16="http://schemas.microsoft.com/office/drawing/2014/main" id="{690532E4-9B55-D95B-181F-E4FF86EEEB7C}"/>
            </a:ext>
          </a:extLst>
        </xdr:cNvPr>
        <xdr:cNvSpPr/>
      </xdr:nvSpPr>
      <xdr:spPr>
        <a:xfrm>
          <a:off x="5100320" y="4206240"/>
          <a:ext cx="6223000" cy="374904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2268220</xdr:colOff>
      <xdr:row>22</xdr:row>
      <xdr:rowOff>109220</xdr:rowOff>
    </xdr:from>
    <xdr:to>
      <xdr:col>15</xdr:col>
      <xdr:colOff>566420</xdr:colOff>
      <xdr:row>42</xdr:row>
      <xdr:rowOff>152400</xdr:rowOff>
    </xdr:to>
    <xdr:graphicFrame macro="">
      <xdr:nvGraphicFramePr>
        <xdr:cNvPr id="6" name="Chart 5">
          <a:extLst>
            <a:ext uri="{FF2B5EF4-FFF2-40B4-BE49-F238E27FC236}">
              <a16:creationId xmlns:a16="http://schemas.microsoft.com/office/drawing/2014/main" id="{6F176206-8E57-4174-B332-C68862F40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12700</xdr:colOff>
      <xdr:row>24</xdr:row>
      <xdr:rowOff>121920</xdr:rowOff>
    </xdr:from>
    <xdr:to>
      <xdr:col>36</xdr:col>
      <xdr:colOff>381000</xdr:colOff>
      <xdr:row>42</xdr:row>
      <xdr:rowOff>139700</xdr:rowOff>
    </xdr:to>
    <xdr:sp macro="" textlink="">
      <xdr:nvSpPr>
        <xdr:cNvPr id="20" name="Rectangle: Rounded Corners 19">
          <a:extLst>
            <a:ext uri="{FF2B5EF4-FFF2-40B4-BE49-F238E27FC236}">
              <a16:creationId xmlns:a16="http://schemas.microsoft.com/office/drawing/2014/main" id="{93A72B50-A2CE-52D1-5814-CAC6F1FBBEDA}"/>
            </a:ext>
          </a:extLst>
        </xdr:cNvPr>
        <xdr:cNvSpPr/>
      </xdr:nvSpPr>
      <xdr:spPr>
        <a:xfrm>
          <a:off x="19641820" y="4511040"/>
          <a:ext cx="5854700" cy="330962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127000</xdr:colOff>
      <xdr:row>24</xdr:row>
      <xdr:rowOff>101600</xdr:rowOff>
    </xdr:from>
    <xdr:to>
      <xdr:col>35</xdr:col>
      <xdr:colOff>533400</xdr:colOff>
      <xdr:row>42</xdr:row>
      <xdr:rowOff>101600</xdr:rowOff>
    </xdr:to>
    <xdr:graphicFrame macro="">
      <xdr:nvGraphicFramePr>
        <xdr:cNvPr id="7" name="Chart 6">
          <a:extLst>
            <a:ext uri="{FF2B5EF4-FFF2-40B4-BE49-F238E27FC236}">
              <a16:creationId xmlns:a16="http://schemas.microsoft.com/office/drawing/2014/main" id="{63FADD9C-C409-4F19-9505-7CC5B2817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137160</xdr:colOff>
      <xdr:row>10</xdr:row>
      <xdr:rowOff>152400</xdr:rowOff>
    </xdr:from>
    <xdr:to>
      <xdr:col>1</xdr:col>
      <xdr:colOff>1249680</xdr:colOff>
      <xdr:row>41</xdr:row>
      <xdr:rowOff>121920</xdr:rowOff>
    </xdr:to>
    <mc:AlternateContent xmlns:mc="http://schemas.openxmlformats.org/markup-compatibility/2006" xmlns:a14="http://schemas.microsoft.com/office/drawing/2010/main">
      <mc:Choice Requires="a14">
        <xdr:graphicFrame macro="">
          <xdr:nvGraphicFramePr>
            <xdr:cNvPr id="21" name="COUNTRY">
              <a:extLst>
                <a:ext uri="{FF2B5EF4-FFF2-40B4-BE49-F238E27FC236}">
                  <a16:creationId xmlns:a16="http://schemas.microsoft.com/office/drawing/2014/main" id="{6F6CC381-63DF-464C-A409-1DDC547BF89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7160" y="1981200"/>
              <a:ext cx="1722120" cy="563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1684020</xdr:colOff>
      <xdr:row>0</xdr:row>
      <xdr:rowOff>121920</xdr:rowOff>
    </xdr:from>
    <xdr:to>
      <xdr:col>1</xdr:col>
      <xdr:colOff>4053840</xdr:colOff>
      <xdr:row>8</xdr:row>
      <xdr:rowOff>167640</xdr:rowOff>
    </xdr:to>
    <mc:AlternateContent xmlns:mc="http://schemas.openxmlformats.org/markup-compatibility/2006" xmlns:a14="http://schemas.microsoft.com/office/drawing/2010/main">
      <mc:Choice Requires="a14">
        <xdr:graphicFrame macro="">
          <xdr:nvGraphicFramePr>
            <xdr:cNvPr id="24" name="TERRITORY">
              <a:extLst>
                <a:ext uri="{FF2B5EF4-FFF2-40B4-BE49-F238E27FC236}">
                  <a16:creationId xmlns:a16="http://schemas.microsoft.com/office/drawing/2014/main" id="{4F656868-E716-4A2D-80B5-97568174559C}"/>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2293620" y="121920"/>
              <a:ext cx="236982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0</xdr:row>
      <xdr:rowOff>106680</xdr:rowOff>
    </xdr:from>
    <xdr:to>
      <xdr:col>1</xdr:col>
      <xdr:colOff>1569720</xdr:colOff>
      <xdr:row>9</xdr:row>
      <xdr:rowOff>30480</xdr:rowOff>
    </xdr:to>
    <mc:AlternateContent xmlns:mc="http://schemas.openxmlformats.org/markup-compatibility/2006" xmlns:a14="http://schemas.microsoft.com/office/drawing/2010/main">
      <mc:Choice Requires="a14">
        <xdr:graphicFrame macro="">
          <xdr:nvGraphicFramePr>
            <xdr:cNvPr id="25" name="DEALSIZE">
              <a:extLst>
                <a:ext uri="{FF2B5EF4-FFF2-40B4-BE49-F238E27FC236}">
                  <a16:creationId xmlns:a16="http://schemas.microsoft.com/office/drawing/2014/main" id="{918104D5-395F-49BA-BF24-45A8D573BC8C}"/>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mlns="">
        <xdr:sp macro="" textlink="">
          <xdr:nvSpPr>
            <xdr:cNvPr id="0" name=""/>
            <xdr:cNvSpPr>
              <a:spLocks noTextEdit="1"/>
            </xdr:cNvSpPr>
          </xdr:nvSpPr>
          <xdr:spPr>
            <a:xfrm>
              <a:off x="137160" y="106680"/>
              <a:ext cx="204216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1485900</xdr:colOff>
      <xdr:row>10</xdr:row>
      <xdr:rowOff>167640</xdr:rowOff>
    </xdr:from>
    <xdr:to>
      <xdr:col>1</xdr:col>
      <xdr:colOff>3977640</xdr:colOff>
      <xdr:row>21</xdr:row>
      <xdr:rowOff>45720</xdr:rowOff>
    </xdr:to>
    <mc:AlternateContent xmlns:mc="http://schemas.openxmlformats.org/markup-compatibility/2006" xmlns:a14="http://schemas.microsoft.com/office/drawing/2010/main">
      <mc:Choice Requires="a14">
        <xdr:graphicFrame macro="">
          <xdr:nvGraphicFramePr>
            <xdr:cNvPr id="26" name="STATUS">
              <a:extLst>
                <a:ext uri="{FF2B5EF4-FFF2-40B4-BE49-F238E27FC236}">
                  <a16:creationId xmlns:a16="http://schemas.microsoft.com/office/drawing/2014/main" id="{D8A78241-4CBC-440A-9109-7796C0C3EB1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095500" y="1996440"/>
              <a:ext cx="249174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60960</xdr:colOff>
      <xdr:row>44</xdr:row>
      <xdr:rowOff>45720</xdr:rowOff>
    </xdr:from>
    <xdr:to>
      <xdr:col>36</xdr:col>
      <xdr:colOff>441960</xdr:colOff>
      <xdr:row>51</xdr:row>
      <xdr:rowOff>121920</xdr:rowOff>
    </xdr:to>
    <mc:AlternateContent xmlns:mc="http://schemas.openxmlformats.org/markup-compatibility/2006" xmlns:tsle="http://schemas.microsoft.com/office/drawing/2012/timeslicer">
      <mc:Choice Requires="tsle">
        <xdr:graphicFrame macro="">
          <xdr:nvGraphicFramePr>
            <xdr:cNvPr id="27" name="OrderDate">
              <a:extLst>
                <a:ext uri="{FF2B5EF4-FFF2-40B4-BE49-F238E27FC236}">
                  <a16:creationId xmlns:a16="http://schemas.microsoft.com/office/drawing/2014/main" id="{034C2712-AE9E-4B75-8EC8-28923B544686}"/>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5059680" y="8153400"/>
              <a:ext cx="20223480" cy="1295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1508760</xdr:colOff>
      <xdr:row>22</xdr:row>
      <xdr:rowOff>152400</xdr:rowOff>
    </xdr:from>
    <xdr:to>
      <xdr:col>1</xdr:col>
      <xdr:colOff>4008120</xdr:colOff>
      <xdr:row>41</xdr:row>
      <xdr:rowOff>91440</xdr:rowOff>
    </xdr:to>
    <mc:AlternateContent xmlns:mc="http://schemas.openxmlformats.org/markup-compatibility/2006" xmlns:a14="http://schemas.microsoft.com/office/drawing/2010/main">
      <mc:Choice Requires="a14">
        <xdr:graphicFrame macro="">
          <xdr:nvGraphicFramePr>
            <xdr:cNvPr id="28" name="PRODUCTLINE">
              <a:extLst>
                <a:ext uri="{FF2B5EF4-FFF2-40B4-BE49-F238E27FC236}">
                  <a16:creationId xmlns:a16="http://schemas.microsoft.com/office/drawing/2014/main" id="{E1571F17-9DB9-4298-841B-B793951D3567}"/>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2118360" y="4175760"/>
              <a:ext cx="2499360" cy="3413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dav's family" refreshedDate="46244.919461111109" backgroundQuery="1" createdVersion="8" refreshedVersion="8" minRefreshableVersion="3" recordCount="0" supportSubquery="1" supportAdvancedDrill="1" xr:uid="{357AACB1-58EC-4223-B8FF-F721FB6AEC94}">
  <cacheSource type="external" connectionId="2"/>
  <cacheFields count="1">
    <cacheField name="[Measures].[Distinct Count of CUSTOMERNAME]" caption="Distinct Count of CUSTOMERNAME" numFmtId="0" hierarchy="23" level="32767"/>
  </cacheFields>
  <cacheHierarchies count="24">
    <cacheHierarchy uniqueName="[sales_data_sample].[ORDERNUMBER]" caption="ORDERNUMBER" attribute="1" defaultMemberUniqueName="[sales_data_sample].[ORDERNUMBER].[All]" allUniqueName="[sales_data_sample].[ORDERNUMBER].[All]" dimensionUniqueName="[sales_data_sample]" displayFolder="" count="0" memberValueDatatype="20" unbalanced="0"/>
    <cacheHierarchy uniqueName="[sales_data_sample].[CUSTOMERNAME]" caption="CUSTOMERNAME" attribute="1" defaultMemberUniqueName="[sales_data_sample].[CUSTOMERNAME].[All]" allUniqueName="[sales_data_sample].[CUSTOMERNAME].[All]" dimensionUniqueName="[sales_data_sample]" displayFolder="" count="0" memberValueDatatype="130" unbalanced="0"/>
    <cacheHierarchy uniqueName="[sales_data_sample].[OrderDate]" caption="OrderDate" attribute="1" time="1" defaultMemberUniqueName="[sales_data_sample].[OrderDate].[All]" allUniqueName="[sales_data_sample].[OrderDate].[All]" dimensionUniqueName="[sales_data_sample]" displayFolder="" count="0" memberValueDatatype="7" unbalanced="0"/>
    <cacheHierarchy uniqueName="[sales_data_sample].[Month Name]" caption="Month Name" attribute="1" defaultMemberUniqueName="[sales_data_sample].[Month Name].[All]" allUniqueName="[sales_data_sample].[Month Name].[All]" dimensionUniqueName="[sales_data_sample]" displayFolder="" count="0" memberValueDatatype="130" unbalanced="0"/>
    <cacheHierarchy uniqueName="[sales_data_sample].[STATUS]" caption="STATUS" attribute="1" defaultMemberUniqueName="[sales_data_sample].[STATUS].[All]" allUniqueName="[sales_data_sample].[STATUS].[All]" dimensionUniqueName="[sales_data_sample]" displayFolder="" count="0" memberValueDatatype="130" unbalanced="0"/>
    <cacheHierarchy uniqueName="[sales_data_sample].[QUANTITYORDERED]" caption="QUANTITYORDERED" attribute="1" defaultMemberUniqueName="[sales_data_sample].[QUANTITYORDERED].[All]" allUniqueName="[sales_data_sample].[QUANTITYORDERED].[All]" dimensionUniqueName="[sales_data_sample]" displayFolder="" count="0" memberValueDatatype="20" unbalanced="0"/>
    <cacheHierarchy uniqueName="[sales_data_sample].[PRICEEACH]" caption="PRICEEACH" attribute="1" defaultMemberUniqueName="[sales_data_sample].[PRICEEACH].[All]" allUniqueName="[sales_data_sample].[PRICEEACH].[All]" dimensionUniqueName="[sales_data_sample]" displayFolder="" count="0" memberValueDatatype="5" unbalanced="0"/>
    <cacheHierarchy uniqueName="[sales_data_sample].[SALES]" caption="SALES" attribute="1" defaultMemberUniqueName="[sales_data_sample].[SALES].[All]" allUniqueName="[sales_data_sample].[SALES].[All]" dimensionUniqueName="[sales_data_sample]" displayFolder="" count="0" memberValueDatatype="5" unbalanced="0"/>
    <cacheHierarchy uniqueName="[sales_data_sample].[ORDERLINENUMBER]" caption="ORDERLINENUMBER" attribute="1" defaultMemberUniqueName="[sales_data_sample].[ORDERLINENUMBER].[All]" allUniqueName="[sales_data_sample].[ORDERLINENUMBER].[All]" dimensionUniqueName="[sales_data_sample]" displayFolder="" count="0" memberValueDatatype="20" unbalanced="0"/>
    <cacheHierarchy uniqueName="[sales_data_sample].[PRODUCTLINE]" caption="PRODUCTLINE" attribute="1" defaultMemberUniqueName="[sales_data_sample].[PRODUCTLINE].[All]" allUniqueName="[sales_data_sample].[PRODUCTLINE].[All]" dimensionUniqueName="[sales_data_sample]" displayFolder="" count="0" memberValueDatatype="130" unbalanced="0"/>
    <cacheHierarchy uniqueName="[sales_data_sample].[MSRP]" caption="MSRP" attribute="1" defaultMemberUniqueName="[sales_data_sample].[MSRP].[All]" allUniqueName="[sales_data_sample].[MSRP].[All]" dimensionUniqueName="[sales_data_sample]" displayFolder="" count="0" memberValueDatatype="20" unbalanced="0"/>
    <cacheHierarchy uniqueName="[sales_data_sample].[PRODUCTCODE]" caption="PRODUCTCODE" attribute="1" defaultMemberUniqueName="[sales_data_sample].[PRODUCTCODE].[All]" allUniqueName="[sales_data_sample].[PRODUCTCODE].[All]" dimensionUniqueName="[sales_data_sample]" displayFolder="" count="0" memberValueDatatype="130" unbalanced="0"/>
    <cacheHierarchy uniqueName="[sales_data_sample].[CITY]" caption="CITY" attribute="1" defaultMemberUniqueName="[sales_data_sample].[CITY].[All]" allUniqueName="[sales_data_sample].[CITY].[All]" dimensionUniqueName="[sales_data_sample]" displayFolder="" count="0" memberValueDatatype="130" unbalanced="0"/>
    <cacheHierarchy uniqueName="[sales_data_sample].[POSTALCODE]" caption="POSTALCODE" attribute="1" defaultMemberUniqueName="[sales_data_sample].[POSTALCODE].[All]" allUniqueName="[sales_data_sample].[POSTALCODE].[All]" dimensionUniqueName="[sales_data_sample]" displayFolder="" count="0" memberValueDatatype="130" unbalanced="0"/>
    <cacheHierarchy uniqueName="[sales_data_sample].[COUNTRY]" caption="COUNTRY" attribute="1" defaultMemberUniqueName="[sales_data_sample].[COUNTRY].[All]" allUniqueName="[sales_data_sample].[COUNTRY].[All]" dimensionUniqueName="[sales_data_sample]" displayFolder="" count="0" memberValueDatatype="130" unbalanced="0"/>
    <cacheHierarchy uniqueName="[sales_data_sample].[TERRITORY]" caption="TERRITORY" attribute="1" defaultMemberUniqueName="[sales_data_sample].[TERRITORY].[All]" allUniqueName="[sales_data_sample].[TERRITORY].[All]" dimensionUniqueName="[sales_data_sample]" displayFolder="" count="0" memberValueDatatype="130" unbalanced="0"/>
    <cacheHierarchy uniqueName="[sales_data_sample].[CONTACTLASTNAME]" caption="CONTACTLASTNAME" attribute="1" defaultMemberUniqueName="[sales_data_sample].[CONTACTLASTNAME].[All]" allUniqueName="[sales_data_sample].[CONTACTLASTNAME].[All]" dimensionUniqueName="[sales_data_sample]" displayFolder="" count="0" memberValueDatatype="130" unbalanced="0"/>
    <cacheHierarchy uniqueName="[sales_data_sample].[CONTACTFIRSTNAME]" caption="CONTACTFIRSTNAME" attribute="1" defaultMemberUniqueName="[sales_data_sample].[CONTACTFIRSTNAME].[All]" allUniqueName="[sales_data_sample].[CONTACTFIRSTNAME].[All]" dimensionUniqueName="[sales_data_sample]" displayFolder="" count="0" memberValueDatatype="130" unbalanced="0"/>
    <cacheHierarchy uniqueName="[sales_data_sample].[DEALSIZE]" caption="DEALSIZE" attribute="1" defaultMemberUniqueName="[sales_data_sample].[DEALSIZE].[All]" allUniqueName="[sales_data_sample].[DEALSIZE].[All]" dimensionUniqueName="[sales_data_sample]" displayFolder="" count="0" memberValueDatatype="130" unbalanced="0"/>
    <cacheHierarchy uniqueName="[sales_data_sample].[Customer Full Name]" caption="Customer Full Name" attribute="1" defaultMemberUniqueName="[sales_data_sample].[Customer Full Name].[All]" allUniqueName="[sales_data_sample].[Customer Full Name].[All]" dimensionUniqueName="[sales_data_sample]" displayFolder="" count="0" memberValueDatatype="130" unbalanced="0"/>
    <cacheHierarchy uniqueName="[Measures].[__XL_Count sales_data_sample]" caption="__XL_Count sales_data_sample" measure="1" displayFolder="" measureGroup="sales_data_sample" count="0" hidden="1"/>
    <cacheHierarchy uniqueName="[Measures].[__No measures defined]" caption="__No measures defined" measure="1" displayFolder="" count="0" hidden="1"/>
    <cacheHierarchy uniqueName="[Measures].[Count of CUSTOMERNAME]" caption="Count of CUSTOMERNAME" measure="1" displayFolder="" measureGroup="sales_data_sample" count="0" hidden="1">
      <extLst>
        <ext xmlns:x15="http://schemas.microsoft.com/office/spreadsheetml/2010/11/main" uri="{B97F6D7D-B522-45F9-BDA1-12C45D357490}">
          <x15:cacheHierarchy aggregatedColumn="1"/>
        </ext>
      </extLst>
    </cacheHierarchy>
    <cacheHierarchy uniqueName="[Measures].[Distinct Count of CUSTOMERNAME]" caption="Distinct Count of CUSTOMERNAME" measure="1" displayFolder="" measureGroup="sales_data_sampl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_sample" uniqueName="[sales_data_sample]" caption="sales_data_sample"/>
  </dimensions>
  <measureGroups count="1">
    <measureGroup name="sales_data_sample" caption="sales_data_samp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dav's family" refreshedDate="46244.919461226855" createdVersion="8" refreshedVersion="8" minRefreshableVersion="3" recordCount="307" xr:uid="{BCF95A9C-6719-42CD-B893-F972EDD1BAD1}">
  <cacheSource type="worksheet">
    <worksheetSource name="sales_data_sample"/>
  </cacheSource>
  <cacheFields count="23">
    <cacheField name="ORDERNUMBER" numFmtId="0">
      <sharedItems containsSemiMixedTypes="0" containsString="0" containsNumber="1" containsInteger="1" minValue="10100" maxValue="10425"/>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OrderDate" numFmtId="14">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22"/>
    </cacheField>
    <cacheField name="Month Name" numFmtId="0">
      <sharedItems/>
    </cacheField>
    <cacheField name="STATUS" numFmtId="0">
      <sharedItems count="6">
        <s v="Shipped"/>
        <s v="Disputed"/>
        <s v="In Process"/>
        <s v="Cancelled"/>
        <s v="On Hold"/>
        <s v="Resolved"/>
      </sharedItems>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34.909999999999997" maxValue="100"/>
    </cacheField>
    <cacheField name="SALES" numFmtId="0">
      <sharedItems containsSemiMixedTypes="0" containsString="0" containsNumber="1" minValue="553.95000000000005" maxValue="12001"/>
    </cacheField>
    <cacheField name="ORDERLINENUMBER" numFmtId="0">
      <sharedItems containsSemiMixedTypes="0" containsString="0" containsNumber="1" containsInteger="1" minValue="1" maxValue="17"/>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5" maxValue="214"/>
    </cacheField>
    <cacheField name="PRODUCTCODE" numFmtId="0">
      <sharedItems/>
    </cacheField>
    <cacheField name="CITY" numFmtId="0">
      <sharedItems/>
    </cacheField>
    <cacheField name="POSTALCODE"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CONTACTLASTNAME" numFmtId="0">
      <sharedItems/>
    </cacheField>
    <cacheField name="CONTACTFIRSTNAME" numFmtId="0">
      <sharedItems/>
    </cacheField>
    <cacheField name="DEALSIZE" numFmtId="0">
      <sharedItems count="3">
        <s v="Small"/>
        <s v="Medium"/>
        <s v="Large"/>
      </sharedItems>
    </cacheField>
    <cacheField name="Customer Full Name" numFmtId="0">
      <sharedItems/>
    </cacheField>
    <cacheField name="Months (OrderDate)" numFmtId="0" databaseField="0">
      <fieldGroup base="2">
        <rangePr groupBy="months" startDate="2003-01-06T00:00:00" endDate="2005-06-01T00:00:00"/>
        <groupItems count="14">
          <s v="&lt;06-01-2003"/>
          <s v="Jan"/>
          <s v="Feb"/>
          <s v="Mar"/>
          <s v="Apr"/>
          <s v="May"/>
          <s v="Jun"/>
          <s v="Jul"/>
          <s v="Aug"/>
          <s v="Sep"/>
          <s v="Oct"/>
          <s v="Nov"/>
          <s v="Dec"/>
          <s v="&gt;01-06-2005"/>
        </groupItems>
      </fieldGroup>
    </cacheField>
    <cacheField name="Quarters (OrderDate)" numFmtId="0" databaseField="0">
      <fieldGroup base="2">
        <rangePr groupBy="quarters" startDate="2003-01-06T00:00:00" endDate="2005-06-01T00:00:00"/>
        <groupItems count="6">
          <s v="&lt;06-01-2003"/>
          <s v="Qtr1"/>
          <s v="Qtr2"/>
          <s v="Qtr3"/>
          <s v="Qtr4"/>
          <s v="&gt;01-06-2005"/>
        </groupItems>
      </fieldGroup>
    </cacheField>
    <cacheField name="Years (OrderDate)" numFmtId="0" databaseField="0">
      <fieldGroup base="2">
        <rangePr groupBy="years" startDate="2003-01-06T00:00:00" endDate="2005-06-01T00:00:00"/>
        <groupItems count="5">
          <s v="&lt;06-01-2003"/>
          <s v="2003"/>
          <s v="2004"/>
          <s v="2005"/>
          <s v="&gt;01-06-2005"/>
        </groupItems>
      </fieldGroup>
    </cacheField>
  </cacheFields>
  <extLst>
    <ext xmlns:x14="http://schemas.microsoft.com/office/spreadsheetml/2009/9/main" uri="{725AE2AE-9491-48be-B2B4-4EB974FC3084}">
      <x14:pivotCacheDefinition pivotCacheId="1725962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n v="10107"/>
    <x v="0"/>
    <x v="0"/>
    <s v="February"/>
    <x v="0"/>
    <n v="30"/>
    <n v="95.7"/>
    <n v="2871"/>
    <n v="2"/>
    <x v="0"/>
    <n v="95"/>
    <s v="S10_1678"/>
    <s v="NYC"/>
    <s v="10022"/>
    <x v="0"/>
    <x v="0"/>
    <s v="Yu"/>
    <s v="Kwai"/>
    <x v="0"/>
    <s v="Yu Kwai"/>
  </r>
  <r>
    <n v="10121"/>
    <x v="1"/>
    <x v="1"/>
    <s v="May"/>
    <x v="0"/>
    <n v="34"/>
    <n v="81.349999999999994"/>
    <n v="2765.9"/>
    <n v="5"/>
    <x v="0"/>
    <n v="95"/>
    <s v="S10_1678"/>
    <s v="Reims"/>
    <s v="51100"/>
    <x v="1"/>
    <x v="1"/>
    <s v="Henriot"/>
    <s v="Paul"/>
    <x v="0"/>
    <s v="Henriot Paul"/>
  </r>
  <r>
    <n v="10134"/>
    <x v="2"/>
    <x v="2"/>
    <s v="July"/>
    <x v="0"/>
    <n v="41"/>
    <n v="94.74"/>
    <n v="3884.34"/>
    <n v="2"/>
    <x v="0"/>
    <n v="95"/>
    <s v="S10_1678"/>
    <s v="Paris"/>
    <s v="75508"/>
    <x v="1"/>
    <x v="1"/>
    <s v="Da Cunha"/>
    <s v="Daniel"/>
    <x v="1"/>
    <s v="Da Cunha Daniel"/>
  </r>
  <r>
    <n v="10145"/>
    <x v="3"/>
    <x v="3"/>
    <s v="August"/>
    <x v="0"/>
    <n v="45"/>
    <n v="83.26"/>
    <n v="3746.7"/>
    <n v="6"/>
    <x v="0"/>
    <n v="95"/>
    <s v="S10_1678"/>
    <s v="Pasadena"/>
    <s v="90003"/>
    <x v="0"/>
    <x v="0"/>
    <s v="Young"/>
    <s v="Julie"/>
    <x v="1"/>
    <s v="Young Julie"/>
  </r>
  <r>
    <n v="10159"/>
    <x v="4"/>
    <x v="4"/>
    <s v="October"/>
    <x v="0"/>
    <n v="49"/>
    <n v="100"/>
    <n v="5205.2700000000004"/>
    <n v="14"/>
    <x v="0"/>
    <n v="95"/>
    <s v="S10_1678"/>
    <s v="San Francisco"/>
    <s v="NA"/>
    <x v="0"/>
    <x v="0"/>
    <s v="Brown"/>
    <s v="Julie"/>
    <x v="1"/>
    <s v="Brown Julie"/>
  </r>
  <r>
    <n v="10168"/>
    <x v="5"/>
    <x v="5"/>
    <s v="October"/>
    <x v="0"/>
    <n v="36"/>
    <n v="96.66"/>
    <n v="3479.76"/>
    <n v="1"/>
    <x v="0"/>
    <n v="95"/>
    <s v="S10_1678"/>
    <s v="Burlingame"/>
    <s v="94217"/>
    <x v="0"/>
    <x v="0"/>
    <s v="Hirano"/>
    <s v="Juri"/>
    <x v="1"/>
    <s v="Hirano Juri"/>
  </r>
  <r>
    <n v="10180"/>
    <x v="6"/>
    <x v="6"/>
    <s v="November"/>
    <x v="0"/>
    <n v="29"/>
    <n v="86.13"/>
    <n v="2497.77"/>
    <n v="9"/>
    <x v="0"/>
    <n v="95"/>
    <s v="S10_1678"/>
    <s v="Lille"/>
    <s v="59000"/>
    <x v="1"/>
    <x v="1"/>
    <s v="Rance"/>
    <s v="Martine"/>
    <x v="0"/>
    <s v="Rance Martine"/>
  </r>
  <r>
    <n v="10188"/>
    <x v="7"/>
    <x v="7"/>
    <s v="November"/>
    <x v="0"/>
    <n v="48"/>
    <n v="100"/>
    <n v="5512.32"/>
    <n v="1"/>
    <x v="0"/>
    <n v="95"/>
    <s v="S10_1678"/>
    <s v="Bergen"/>
    <s v="N 5804"/>
    <x v="2"/>
    <x v="1"/>
    <s v="Oeztan"/>
    <s v="Veysel"/>
    <x v="1"/>
    <s v="Oeztan Veysel"/>
  </r>
  <r>
    <n v="10201"/>
    <x v="8"/>
    <x v="8"/>
    <s v="December"/>
    <x v="0"/>
    <n v="22"/>
    <n v="98.57"/>
    <n v="2168.54"/>
    <n v="2"/>
    <x v="0"/>
    <n v="95"/>
    <s v="S10_1678"/>
    <s v="San Francisco"/>
    <s v="NA"/>
    <x v="0"/>
    <x v="0"/>
    <s v="Murphy"/>
    <s v="Julie"/>
    <x v="0"/>
    <s v="Murphy Julie"/>
  </r>
  <r>
    <n v="10211"/>
    <x v="9"/>
    <x v="9"/>
    <s v="January"/>
    <x v="0"/>
    <n v="41"/>
    <n v="100"/>
    <n v="4708.4399999999996"/>
    <n v="14"/>
    <x v="0"/>
    <n v="95"/>
    <s v="S10_1678"/>
    <s v="Paris"/>
    <s v="75016"/>
    <x v="1"/>
    <x v="1"/>
    <s v="Perrier"/>
    <s v="Dominique"/>
    <x v="1"/>
    <s v="Perrier Dominique"/>
  </r>
  <r>
    <n v="10223"/>
    <x v="10"/>
    <x v="10"/>
    <s v="February"/>
    <x v="0"/>
    <n v="37"/>
    <n v="100"/>
    <n v="3965.66"/>
    <n v="1"/>
    <x v="0"/>
    <n v="95"/>
    <s v="S10_1678"/>
    <s v="Melbourne"/>
    <s v="3004"/>
    <x v="3"/>
    <x v="2"/>
    <s v="Ferguson"/>
    <s v="Peter"/>
    <x v="1"/>
    <s v="Ferguson Peter"/>
  </r>
  <r>
    <n v="10237"/>
    <x v="11"/>
    <x v="11"/>
    <s v="April"/>
    <x v="0"/>
    <n v="23"/>
    <n v="100"/>
    <n v="2333.12"/>
    <n v="7"/>
    <x v="0"/>
    <n v="95"/>
    <s v="S10_1678"/>
    <s v="NYC"/>
    <s v="10022"/>
    <x v="0"/>
    <x v="0"/>
    <s v="Frick"/>
    <s v="Michael"/>
    <x v="0"/>
    <s v="Frick Michael"/>
  </r>
  <r>
    <n v="10251"/>
    <x v="12"/>
    <x v="12"/>
    <s v="May"/>
    <x v="0"/>
    <n v="28"/>
    <n v="100"/>
    <n v="3188.64"/>
    <n v="2"/>
    <x v="0"/>
    <n v="95"/>
    <s v="S10_1678"/>
    <s v="Newark"/>
    <s v="94019"/>
    <x v="0"/>
    <x v="0"/>
    <s v="Brown"/>
    <s v="William"/>
    <x v="1"/>
    <s v="Brown William"/>
  </r>
  <r>
    <n v="10263"/>
    <x v="13"/>
    <x v="13"/>
    <s v="June"/>
    <x v="0"/>
    <n v="34"/>
    <n v="100"/>
    <n v="3676.76"/>
    <n v="2"/>
    <x v="0"/>
    <n v="95"/>
    <s v="S10_1678"/>
    <s v="Bridgewater"/>
    <s v="97562"/>
    <x v="0"/>
    <x v="0"/>
    <s v="King"/>
    <s v="Julie"/>
    <x v="1"/>
    <s v="King Julie"/>
  </r>
  <r>
    <n v="10275"/>
    <x v="14"/>
    <x v="14"/>
    <s v="July"/>
    <x v="0"/>
    <n v="45"/>
    <n v="92.83"/>
    <n v="4177.3500000000004"/>
    <n v="1"/>
    <x v="0"/>
    <n v="95"/>
    <s v="S10_1678"/>
    <s v="Nantes"/>
    <s v="44000"/>
    <x v="1"/>
    <x v="1"/>
    <s v="Labrune"/>
    <s v="Janine"/>
    <x v="1"/>
    <s v="Labrune Janine"/>
  </r>
  <r>
    <n v="10285"/>
    <x v="15"/>
    <x v="15"/>
    <s v="August"/>
    <x v="0"/>
    <n v="36"/>
    <n v="100"/>
    <n v="4099.68"/>
    <n v="6"/>
    <x v="0"/>
    <n v="95"/>
    <s v="S10_1678"/>
    <s v="Cambridge"/>
    <s v="51247"/>
    <x v="0"/>
    <x v="0"/>
    <s v="Hernandez"/>
    <s v="Marta"/>
    <x v="1"/>
    <s v="Hernandez Marta"/>
  </r>
  <r>
    <n v="10299"/>
    <x v="16"/>
    <x v="16"/>
    <s v="September"/>
    <x v="0"/>
    <n v="23"/>
    <n v="100"/>
    <n v="2597.39"/>
    <n v="9"/>
    <x v="0"/>
    <n v="95"/>
    <s v="S10_1678"/>
    <s v="Helsinki"/>
    <s v="21240"/>
    <x v="4"/>
    <x v="1"/>
    <s v="Karttunen"/>
    <s v="Matti"/>
    <x v="0"/>
    <s v="Karttunen Matti"/>
  </r>
  <r>
    <n v="10309"/>
    <x v="17"/>
    <x v="17"/>
    <s v="October"/>
    <x v="0"/>
    <n v="41"/>
    <n v="100"/>
    <n v="4394.38"/>
    <n v="5"/>
    <x v="0"/>
    <n v="95"/>
    <s v="S10_1678"/>
    <s v="Stavern"/>
    <s v="4110"/>
    <x v="2"/>
    <x v="1"/>
    <s v="Bergulfsen"/>
    <s v="Jonas"/>
    <x v="1"/>
    <s v="Bergulfsen Jonas"/>
  </r>
  <r>
    <n v="10318"/>
    <x v="18"/>
    <x v="18"/>
    <s v="November"/>
    <x v="0"/>
    <n v="46"/>
    <n v="94.74"/>
    <n v="4358.04"/>
    <n v="1"/>
    <x v="0"/>
    <n v="95"/>
    <s v="S10_1678"/>
    <s v="Allentown"/>
    <s v="70267"/>
    <x v="0"/>
    <x v="0"/>
    <s v="Yu"/>
    <s v="Kyung"/>
    <x v="1"/>
    <s v="Yu Kyung"/>
  </r>
  <r>
    <n v="10329"/>
    <x v="0"/>
    <x v="19"/>
    <s v="November"/>
    <x v="0"/>
    <n v="42"/>
    <n v="100"/>
    <n v="4396.1400000000003"/>
    <n v="1"/>
    <x v="0"/>
    <n v="95"/>
    <s v="S10_1678"/>
    <s v="NYC"/>
    <s v="10022"/>
    <x v="0"/>
    <x v="0"/>
    <s v="Yu"/>
    <s v="Kwai"/>
    <x v="1"/>
    <s v="Yu Kwai"/>
  </r>
  <r>
    <n v="10341"/>
    <x v="19"/>
    <x v="20"/>
    <s v="November"/>
    <x v="0"/>
    <n v="41"/>
    <n v="100"/>
    <n v="7737.93"/>
    <n v="9"/>
    <x v="0"/>
    <n v="95"/>
    <s v="S10_1678"/>
    <s v="Salzburg"/>
    <s v="5020"/>
    <x v="5"/>
    <x v="1"/>
    <s v="Pipps"/>
    <s v="Georg"/>
    <x v="2"/>
    <s v="Pipps Georg"/>
  </r>
  <r>
    <n v="10361"/>
    <x v="20"/>
    <x v="21"/>
    <s v="December"/>
    <x v="0"/>
    <n v="20"/>
    <n v="72.55"/>
    <n v="1451"/>
    <n v="13"/>
    <x v="0"/>
    <n v="95"/>
    <s v="S10_1678"/>
    <s v="Chatswood"/>
    <s v="2067"/>
    <x v="3"/>
    <x v="2"/>
    <s v="Huxley"/>
    <s v="Adrian"/>
    <x v="0"/>
    <s v="Huxley Adrian"/>
  </r>
  <r>
    <n v="10375"/>
    <x v="14"/>
    <x v="22"/>
    <s v="February"/>
    <x v="0"/>
    <n v="21"/>
    <n v="34.909999999999997"/>
    <n v="733.11"/>
    <n v="12"/>
    <x v="0"/>
    <n v="95"/>
    <s v="S10_1678"/>
    <s v="Nantes"/>
    <s v="44000"/>
    <x v="1"/>
    <x v="1"/>
    <s v="Labrune"/>
    <s v="Janine"/>
    <x v="0"/>
    <s v="Labrune Janine"/>
  </r>
  <r>
    <n v="10388"/>
    <x v="21"/>
    <x v="23"/>
    <s v="March"/>
    <x v="0"/>
    <n v="42"/>
    <n v="76.36"/>
    <n v="3207.12"/>
    <n v="4"/>
    <x v="0"/>
    <n v="95"/>
    <s v="S10_1678"/>
    <s v="New Bedford"/>
    <s v="50553"/>
    <x v="0"/>
    <x v="0"/>
    <s v="Benitez"/>
    <s v="Violeta"/>
    <x v="1"/>
    <s v="Benitez Violeta"/>
  </r>
  <r>
    <n v="10403"/>
    <x v="22"/>
    <x v="24"/>
    <s v="April"/>
    <x v="0"/>
    <n v="24"/>
    <n v="100"/>
    <n v="2434.56"/>
    <n v="7"/>
    <x v="0"/>
    <n v="95"/>
    <s v="S10_1678"/>
    <s v="Liverpool"/>
    <s v="WX1 6LT"/>
    <x v="6"/>
    <x v="1"/>
    <s v="Devon"/>
    <s v="Elizabeth"/>
    <x v="0"/>
    <s v="Devon Elizabeth"/>
  </r>
  <r>
    <n v="10417"/>
    <x v="23"/>
    <x v="25"/>
    <s v="May"/>
    <x v="1"/>
    <n v="66"/>
    <n v="100"/>
    <n v="7516.08"/>
    <n v="2"/>
    <x v="0"/>
    <n v="95"/>
    <s v="S10_1678"/>
    <s v="Madrid"/>
    <s v="28034"/>
    <x v="7"/>
    <x v="1"/>
    <s v="Freyre"/>
    <s v="Diego"/>
    <x v="2"/>
    <s v="Freyre Diego"/>
  </r>
  <r>
    <n v="10103"/>
    <x v="17"/>
    <x v="26"/>
    <s v="January"/>
    <x v="0"/>
    <n v="26"/>
    <n v="100"/>
    <n v="5404.62"/>
    <n v="11"/>
    <x v="1"/>
    <n v="214"/>
    <s v="S10_1949"/>
    <s v="Stavern"/>
    <s v="4110"/>
    <x v="2"/>
    <x v="1"/>
    <s v="Bergulfsen"/>
    <s v="Jonas"/>
    <x v="1"/>
    <s v="Bergulfsen Jonas"/>
  </r>
  <r>
    <n v="10112"/>
    <x v="24"/>
    <x v="27"/>
    <s v="March"/>
    <x v="0"/>
    <n v="29"/>
    <n v="100"/>
    <n v="7209.11"/>
    <n v="1"/>
    <x v="1"/>
    <n v="214"/>
    <s v="S10_1949"/>
    <s v="Lule"/>
    <s v="S-958 22"/>
    <x v="8"/>
    <x v="1"/>
    <s v="Berglund"/>
    <s v="Christina"/>
    <x v="2"/>
    <s v="Berglund Christina"/>
  </r>
  <r>
    <n v="10126"/>
    <x v="25"/>
    <x v="28"/>
    <s v="May"/>
    <x v="0"/>
    <n v="38"/>
    <n v="100"/>
    <n v="7329.06"/>
    <n v="11"/>
    <x v="1"/>
    <n v="214"/>
    <s v="S10_1949"/>
    <s v="Madrid"/>
    <s v="28023"/>
    <x v="7"/>
    <x v="1"/>
    <s v="Sommer"/>
    <s v="Mart¡n"/>
    <x v="2"/>
    <s v="Sommer Mart¡n"/>
  </r>
  <r>
    <n v="10140"/>
    <x v="5"/>
    <x v="29"/>
    <s v="July"/>
    <x v="0"/>
    <n v="37"/>
    <n v="100"/>
    <n v="7374.1"/>
    <n v="11"/>
    <x v="1"/>
    <n v="214"/>
    <s v="S10_1949"/>
    <s v="Burlingame"/>
    <s v="94217"/>
    <x v="0"/>
    <x v="0"/>
    <s v="Hirano"/>
    <s v="Juri"/>
    <x v="2"/>
    <s v="Hirano Juri"/>
  </r>
  <r>
    <n v="10150"/>
    <x v="26"/>
    <x v="30"/>
    <s v="September"/>
    <x v="0"/>
    <n v="45"/>
    <n v="100"/>
    <n v="10993.5"/>
    <n v="8"/>
    <x v="1"/>
    <n v="214"/>
    <s v="S10_1949"/>
    <s v="Singapore"/>
    <s v="79903"/>
    <x v="9"/>
    <x v="3"/>
    <s v="Natividad"/>
    <s v="Eric"/>
    <x v="2"/>
    <s v="Natividad Eric"/>
  </r>
  <r>
    <n v="10163"/>
    <x v="27"/>
    <x v="31"/>
    <s v="October"/>
    <x v="0"/>
    <n v="21"/>
    <n v="100"/>
    <n v="4860.24"/>
    <n v="1"/>
    <x v="1"/>
    <n v="214"/>
    <s v="S10_1949"/>
    <s v="NYC"/>
    <s v="10022"/>
    <x v="0"/>
    <x v="0"/>
    <s v="Hernandez"/>
    <s v="Maria"/>
    <x v="1"/>
    <s v="Hernandez Maria"/>
  </r>
  <r>
    <n v="10174"/>
    <x v="28"/>
    <x v="32"/>
    <s v="November"/>
    <x v="0"/>
    <n v="34"/>
    <n v="100"/>
    <n v="8014.82"/>
    <n v="4"/>
    <x v="1"/>
    <n v="214"/>
    <s v="S10_1949"/>
    <s v="South Brisbane"/>
    <s v="4101"/>
    <x v="3"/>
    <x v="2"/>
    <s v="Calaghan"/>
    <s v="Tony"/>
    <x v="2"/>
    <s v="Calaghan Tony"/>
  </r>
  <r>
    <n v="10183"/>
    <x v="29"/>
    <x v="33"/>
    <s v="November"/>
    <x v="0"/>
    <n v="23"/>
    <n v="100"/>
    <n v="5372.57"/>
    <n v="8"/>
    <x v="1"/>
    <n v="214"/>
    <s v="S10_1949"/>
    <s v="Philadelphia"/>
    <s v="71270"/>
    <x v="0"/>
    <x v="0"/>
    <s v="Cervantes"/>
    <s v="Francisca"/>
    <x v="1"/>
    <s v="Cervantes Francisca"/>
  </r>
  <r>
    <n v="10194"/>
    <x v="30"/>
    <x v="34"/>
    <s v="November"/>
    <x v="0"/>
    <n v="42"/>
    <n v="100"/>
    <n v="7290.36"/>
    <n v="11"/>
    <x v="1"/>
    <n v="214"/>
    <s v="S10_1949"/>
    <s v="Lyon"/>
    <s v="69004"/>
    <x v="1"/>
    <x v="1"/>
    <s v="Saveley"/>
    <s v="Mary"/>
    <x v="2"/>
    <s v="Saveley Mary"/>
  </r>
  <r>
    <n v="10206"/>
    <x v="31"/>
    <x v="35"/>
    <s v="December"/>
    <x v="0"/>
    <n v="47"/>
    <n v="100"/>
    <n v="9064.89"/>
    <n v="6"/>
    <x v="1"/>
    <n v="214"/>
    <s v="S10_1949"/>
    <s v="Vancouver"/>
    <s v="V3F 2K1"/>
    <x v="10"/>
    <x v="0"/>
    <s v="Tannamuri"/>
    <s v="Yoshi"/>
    <x v="2"/>
    <s v="Tannamuri Yoshi"/>
  </r>
  <r>
    <n v="10215"/>
    <x v="32"/>
    <x v="36"/>
    <s v="January"/>
    <x v="0"/>
    <n v="35"/>
    <n v="100"/>
    <n v="6075.3"/>
    <n v="3"/>
    <x v="1"/>
    <n v="214"/>
    <s v="S10_1949"/>
    <s v="Burbank"/>
    <s v="94019"/>
    <x v="0"/>
    <x v="0"/>
    <s v="Thompson"/>
    <s v="Steve"/>
    <x v="1"/>
    <s v="Thompson Steve"/>
  </r>
  <r>
    <n v="10228"/>
    <x v="33"/>
    <x v="37"/>
    <s v="March"/>
    <x v="0"/>
    <n v="29"/>
    <n v="100"/>
    <n v="6463.23"/>
    <n v="2"/>
    <x v="1"/>
    <n v="214"/>
    <s v="S10_1949"/>
    <s v="Cambridge"/>
    <s v="51247"/>
    <x v="0"/>
    <x v="0"/>
    <s v="Tseng"/>
    <s v="Kyung"/>
    <x v="1"/>
    <s v="Tseng Kyung"/>
  </r>
  <r>
    <n v="10245"/>
    <x v="34"/>
    <x v="38"/>
    <s v="May"/>
    <x v="0"/>
    <n v="34"/>
    <n v="100"/>
    <n v="6120.34"/>
    <n v="9"/>
    <x v="1"/>
    <n v="214"/>
    <s v="S10_1949"/>
    <s v="New Haven"/>
    <s v="97823"/>
    <x v="0"/>
    <x v="0"/>
    <s v="Murphy"/>
    <s v="Leslie"/>
    <x v="1"/>
    <s v="Murphy Leslie"/>
  </r>
  <r>
    <n v="10258"/>
    <x v="35"/>
    <x v="39"/>
    <s v="June"/>
    <x v="0"/>
    <n v="32"/>
    <n v="100"/>
    <n v="7680.64"/>
    <n v="6"/>
    <x v="1"/>
    <n v="214"/>
    <s v="S10_1949"/>
    <s v="Minato-ku"/>
    <s v="106-0032"/>
    <x v="11"/>
    <x v="3"/>
    <s v="Shimamura"/>
    <s v="Akiko"/>
    <x v="2"/>
    <s v="Shimamura Akiko"/>
  </r>
  <r>
    <n v="10270"/>
    <x v="20"/>
    <x v="40"/>
    <s v="July"/>
    <x v="0"/>
    <n v="21"/>
    <n v="100"/>
    <n v="4905.3900000000003"/>
    <n v="9"/>
    <x v="1"/>
    <n v="214"/>
    <s v="S10_1949"/>
    <s v="Chatswood"/>
    <s v="2067"/>
    <x v="3"/>
    <x v="2"/>
    <s v="Huxley"/>
    <s v="Adrian"/>
    <x v="1"/>
    <s v="Huxley Adrian"/>
  </r>
  <r>
    <n v="10280"/>
    <x v="36"/>
    <x v="41"/>
    <s v="August"/>
    <x v="0"/>
    <n v="34"/>
    <n v="100"/>
    <n v="8014.82"/>
    <n v="2"/>
    <x v="1"/>
    <n v="214"/>
    <s v="S10_1949"/>
    <s v="Torino"/>
    <s v="10100"/>
    <x v="12"/>
    <x v="1"/>
    <s v="Accorti"/>
    <s v="Paolo"/>
    <x v="2"/>
    <s v="Accorti Paolo"/>
  </r>
  <r>
    <n v="10291"/>
    <x v="37"/>
    <x v="42"/>
    <s v="September"/>
    <x v="0"/>
    <n v="37"/>
    <n v="100"/>
    <n v="7136.19"/>
    <n v="11"/>
    <x v="1"/>
    <n v="214"/>
    <s v="S10_1949"/>
    <s v="Boras"/>
    <s v="S-844 67"/>
    <x v="8"/>
    <x v="1"/>
    <s v="Larsson"/>
    <s v="Maria"/>
    <x v="2"/>
    <s v="Larsson Maria"/>
  </r>
  <r>
    <n v="10304"/>
    <x v="38"/>
    <x v="43"/>
    <s v="October"/>
    <x v="0"/>
    <n v="47"/>
    <n v="100"/>
    <n v="10172.700000000001"/>
    <n v="6"/>
    <x v="1"/>
    <n v="214"/>
    <s v="S10_1949"/>
    <s v="Versailles"/>
    <s v="78000"/>
    <x v="1"/>
    <x v="1"/>
    <s v="Tonini"/>
    <s v="Daniel"/>
    <x v="2"/>
    <s v="Tonini Daniel"/>
  </r>
  <r>
    <n v="10312"/>
    <x v="39"/>
    <x v="44"/>
    <s v="October"/>
    <x v="0"/>
    <n v="48"/>
    <n v="100"/>
    <n v="11623.7"/>
    <n v="3"/>
    <x v="1"/>
    <n v="214"/>
    <s v="S10_1949"/>
    <s v="San Rafael"/>
    <s v="97562"/>
    <x v="0"/>
    <x v="0"/>
    <s v="Nelson"/>
    <s v="Valarie"/>
    <x v="2"/>
    <s v="Nelson Valarie"/>
  </r>
  <r>
    <n v="10322"/>
    <x v="40"/>
    <x v="45"/>
    <s v="November"/>
    <x v="0"/>
    <n v="40"/>
    <n v="100"/>
    <n v="6000.4"/>
    <n v="1"/>
    <x v="1"/>
    <n v="214"/>
    <s v="S10_1949"/>
    <s v="Nashua"/>
    <s v="62005"/>
    <x v="0"/>
    <x v="0"/>
    <s v="Young"/>
    <s v="Valarie"/>
    <x v="1"/>
    <s v="Young Valarie"/>
  </r>
  <r>
    <n v="10333"/>
    <x v="8"/>
    <x v="46"/>
    <s v="November"/>
    <x v="0"/>
    <n v="26"/>
    <n v="100"/>
    <n v="3003"/>
    <n v="3"/>
    <x v="1"/>
    <n v="214"/>
    <s v="S10_1949"/>
    <s v="San Francisco"/>
    <s v="NA"/>
    <x v="0"/>
    <x v="0"/>
    <s v="Murphy"/>
    <s v="Julie"/>
    <x v="1"/>
    <s v="Murphy Julie"/>
  </r>
  <r>
    <n v="10347"/>
    <x v="10"/>
    <x v="47"/>
    <s v="November"/>
    <x v="0"/>
    <n v="30"/>
    <n v="100"/>
    <n v="3944.7"/>
    <n v="1"/>
    <x v="1"/>
    <n v="214"/>
    <s v="S10_1949"/>
    <s v="Melbourne"/>
    <s v="3004"/>
    <x v="3"/>
    <x v="2"/>
    <s v="Ferguson"/>
    <s v="Peter"/>
    <x v="1"/>
    <s v="Ferguson Peter"/>
  </r>
  <r>
    <n v="10357"/>
    <x v="39"/>
    <x v="48"/>
    <s v="December"/>
    <x v="0"/>
    <n v="32"/>
    <n v="100"/>
    <n v="5691.84"/>
    <n v="10"/>
    <x v="1"/>
    <n v="214"/>
    <s v="S10_1949"/>
    <s v="San Rafael"/>
    <s v="97562"/>
    <x v="0"/>
    <x v="0"/>
    <s v="Nelson"/>
    <s v="Valarie"/>
    <x v="1"/>
    <s v="Nelson Valarie"/>
  </r>
  <r>
    <n v="10369"/>
    <x v="41"/>
    <x v="49"/>
    <s v="January"/>
    <x v="0"/>
    <n v="41"/>
    <n v="100"/>
    <n v="4514.92"/>
    <n v="2"/>
    <x v="1"/>
    <n v="214"/>
    <s v="S10_1949"/>
    <s v="Brickhaven"/>
    <s v="58339"/>
    <x v="0"/>
    <x v="0"/>
    <s v="Nelson"/>
    <s v="Allen"/>
    <x v="1"/>
    <s v="Nelson Allen"/>
  </r>
  <r>
    <n v="10381"/>
    <x v="4"/>
    <x v="50"/>
    <s v="February"/>
    <x v="0"/>
    <n v="36"/>
    <n v="100"/>
    <n v="8254.7999999999993"/>
    <n v="3"/>
    <x v="1"/>
    <n v="214"/>
    <s v="S10_1949"/>
    <s v="San Francisco"/>
    <s v="NA"/>
    <x v="0"/>
    <x v="0"/>
    <s v="Brown"/>
    <s v="Julie"/>
    <x v="2"/>
    <s v="Brown Julie"/>
  </r>
  <r>
    <n v="10391"/>
    <x v="42"/>
    <x v="51"/>
    <s v="March"/>
    <x v="0"/>
    <n v="24"/>
    <n v="100"/>
    <n v="2416.56"/>
    <n v="4"/>
    <x v="1"/>
    <n v="214"/>
    <s v="S10_1949"/>
    <s v="North Sydney"/>
    <s v="2060"/>
    <x v="3"/>
    <x v="2"/>
    <s v="O'Hara"/>
    <s v="Anna"/>
    <x v="0"/>
    <s v="O'Hara Anna"/>
  </r>
  <r>
    <n v="10411"/>
    <x v="43"/>
    <x v="52"/>
    <s v="May"/>
    <x v="0"/>
    <n v="23"/>
    <n v="100"/>
    <n v="4140.2299999999996"/>
    <n v="9"/>
    <x v="1"/>
    <n v="214"/>
    <s v="S10_1949"/>
    <s v="Montreal"/>
    <s v="H1J 1C3"/>
    <x v="10"/>
    <x v="0"/>
    <s v="Fresnisre"/>
    <s v="Jean"/>
    <x v="1"/>
    <s v="Fresnisre Jean"/>
  </r>
  <r>
    <n v="10424"/>
    <x v="23"/>
    <x v="53"/>
    <s v="May"/>
    <x v="2"/>
    <n v="50"/>
    <n v="100"/>
    <n v="12001"/>
    <n v="6"/>
    <x v="1"/>
    <n v="214"/>
    <s v="S10_1949"/>
    <s v="Madrid"/>
    <s v="28034"/>
    <x v="7"/>
    <x v="1"/>
    <s v="Freyre"/>
    <s v="Diego"/>
    <x v="2"/>
    <s v="Freyre Diego"/>
  </r>
  <r>
    <n v="10120"/>
    <x v="10"/>
    <x v="54"/>
    <s v="April"/>
    <x v="0"/>
    <n v="29"/>
    <n v="96.34"/>
    <n v="2793.86"/>
    <n v="3"/>
    <x v="0"/>
    <n v="118"/>
    <s v="S10_2016"/>
    <s v="Melbourne"/>
    <s v="3004"/>
    <x v="3"/>
    <x v="2"/>
    <s v="Ferguson"/>
    <s v="Peter"/>
    <x v="0"/>
    <s v="Ferguson Peter"/>
  </r>
  <r>
    <n v="10210"/>
    <x v="44"/>
    <x v="55"/>
    <s v="January"/>
    <x v="0"/>
    <n v="23"/>
    <n v="100"/>
    <n v="3009.09"/>
    <n v="2"/>
    <x v="0"/>
    <n v="118"/>
    <s v="S10_2016"/>
    <s v="Osaka"/>
    <s v="530-0003"/>
    <x v="11"/>
    <x v="3"/>
    <s v="Kentary"/>
    <s v="Mory"/>
    <x v="1"/>
    <s v="Kentary Mory"/>
  </r>
  <r>
    <n v="10236"/>
    <x v="45"/>
    <x v="56"/>
    <s v="April"/>
    <x v="0"/>
    <n v="22"/>
    <n v="100"/>
    <n v="2852.08"/>
    <n v="1"/>
    <x v="0"/>
    <n v="118"/>
    <s v="S10_2016"/>
    <s v="Philadelphia"/>
    <s v="71270"/>
    <x v="0"/>
    <x v="0"/>
    <s v="Hernandez"/>
    <s v="Rosa"/>
    <x v="0"/>
    <s v="Hernandez Rosa"/>
  </r>
  <r>
    <n v="10298"/>
    <x v="46"/>
    <x v="57"/>
    <s v="September"/>
    <x v="0"/>
    <n v="39"/>
    <n v="96.34"/>
    <n v="3757.26"/>
    <n v="1"/>
    <x v="0"/>
    <n v="118"/>
    <s v="S10_2016"/>
    <s v="Nantes"/>
    <s v="44000"/>
    <x v="1"/>
    <x v="1"/>
    <s v="Schmitt"/>
    <s v="Carine"/>
    <x v="1"/>
    <s v="Schmitt Carine"/>
  </r>
  <r>
    <n v="10308"/>
    <x v="47"/>
    <x v="17"/>
    <s v="October"/>
    <x v="0"/>
    <n v="34"/>
    <n v="100"/>
    <n v="4043.96"/>
    <n v="2"/>
    <x v="0"/>
    <n v="118"/>
    <s v="S10_2016"/>
    <s v="White Plains"/>
    <s v="24067"/>
    <x v="0"/>
    <x v="0"/>
    <s v="Frick"/>
    <s v="Steve"/>
    <x v="1"/>
    <s v="Frick Steve"/>
  </r>
  <r>
    <n v="10339"/>
    <x v="35"/>
    <x v="58"/>
    <s v="November"/>
    <x v="0"/>
    <n v="40"/>
    <n v="68.92"/>
    <n v="2756.8"/>
    <n v="4"/>
    <x v="0"/>
    <n v="118"/>
    <s v="S10_2016"/>
    <s v="Minato-ku"/>
    <s v="106-0032"/>
    <x v="11"/>
    <x v="3"/>
    <s v="Shimamura"/>
    <s v="Akiko"/>
    <x v="0"/>
    <s v="Shimamura Akiko"/>
  </r>
  <r>
    <n v="10374"/>
    <x v="28"/>
    <x v="59"/>
    <s v="February"/>
    <x v="0"/>
    <n v="39"/>
    <n v="100"/>
    <n v="5288.01"/>
    <n v="5"/>
    <x v="0"/>
    <n v="118"/>
    <s v="S10_2016"/>
    <s v="South Brisbane"/>
    <s v="4101"/>
    <x v="3"/>
    <x v="2"/>
    <s v="Calaghan"/>
    <s v="Tony"/>
    <x v="1"/>
    <s v="Calaghan Tony"/>
  </r>
  <r>
    <n v="10402"/>
    <x v="9"/>
    <x v="60"/>
    <s v="April"/>
    <x v="0"/>
    <n v="45"/>
    <n v="100"/>
    <n v="5833.8"/>
    <n v="1"/>
    <x v="0"/>
    <n v="118"/>
    <s v="S10_2016"/>
    <s v="Paris"/>
    <s v="75016"/>
    <x v="1"/>
    <x v="1"/>
    <s v="Perrier"/>
    <s v="Dominique"/>
    <x v="1"/>
    <s v="Perrier Dominique"/>
  </r>
  <r>
    <n v="10362"/>
    <x v="5"/>
    <x v="61"/>
    <s v="January"/>
    <x v="0"/>
    <n v="22"/>
    <n v="100"/>
    <n v="3664.1"/>
    <n v="4"/>
    <x v="0"/>
    <n v="193"/>
    <s v="S10_4698"/>
    <s v="Burlingame"/>
    <s v="94217"/>
    <x v="0"/>
    <x v="0"/>
    <s v="Hirano"/>
    <s v="Juri"/>
    <x v="1"/>
    <s v="Hirano Juri"/>
  </r>
  <r>
    <n v="10105"/>
    <x v="48"/>
    <x v="62"/>
    <s v="February"/>
    <x v="0"/>
    <n v="50"/>
    <n v="100"/>
    <n v="7208"/>
    <n v="2"/>
    <x v="1"/>
    <n v="136"/>
    <s v="S10_4757"/>
    <s v="Kobenhavn"/>
    <s v="1734"/>
    <x v="13"/>
    <x v="1"/>
    <s v="Petersen"/>
    <s v="Jytte"/>
    <x v="2"/>
    <s v="Petersen Jytte"/>
  </r>
  <r>
    <n v="10119"/>
    <x v="19"/>
    <x v="63"/>
    <s v="April"/>
    <x v="0"/>
    <n v="46"/>
    <n v="100"/>
    <n v="5004.8"/>
    <n v="11"/>
    <x v="1"/>
    <n v="136"/>
    <s v="S10_4757"/>
    <s v="Salzburg"/>
    <s v="5020"/>
    <x v="5"/>
    <x v="1"/>
    <s v="Pipps"/>
    <s v="Georg"/>
    <x v="1"/>
    <s v="Pipps Georg"/>
  </r>
  <r>
    <n v="10129"/>
    <x v="49"/>
    <x v="64"/>
    <s v="June"/>
    <x v="0"/>
    <n v="33"/>
    <n v="100"/>
    <n v="4398.24"/>
    <n v="2"/>
    <x v="1"/>
    <n v="136"/>
    <s v="S10_4757"/>
    <s v="London"/>
    <s v="WX3 6FW"/>
    <x v="6"/>
    <x v="1"/>
    <s v="Brown"/>
    <s v="Ann"/>
    <x v="1"/>
    <s v="Brown Ann"/>
  </r>
  <r>
    <n v="10143"/>
    <x v="50"/>
    <x v="65"/>
    <s v="August"/>
    <x v="0"/>
    <n v="49"/>
    <n v="100"/>
    <n v="5597.76"/>
    <n v="15"/>
    <x v="1"/>
    <n v="136"/>
    <s v="S10_4757"/>
    <s v="New Bedford"/>
    <s v="50553"/>
    <x v="0"/>
    <x v="0"/>
    <s v="Tam"/>
    <s v="Wing C"/>
    <x v="1"/>
    <s v="Tam Wing C"/>
  </r>
  <r>
    <n v="10155"/>
    <x v="16"/>
    <x v="66"/>
    <s v="October"/>
    <x v="0"/>
    <n v="32"/>
    <n v="100"/>
    <n v="4526.08"/>
    <n v="13"/>
    <x v="1"/>
    <n v="136"/>
    <s v="S10_4757"/>
    <s v="Helsinki"/>
    <s v="21240"/>
    <x v="4"/>
    <x v="1"/>
    <s v="Karttunen"/>
    <s v="Matti"/>
    <x v="1"/>
    <s v="Karttunen Matti"/>
  </r>
  <r>
    <n v="10167"/>
    <x v="37"/>
    <x v="67"/>
    <s v="October"/>
    <x v="3"/>
    <n v="44"/>
    <n v="100"/>
    <n v="5924.16"/>
    <n v="9"/>
    <x v="1"/>
    <n v="136"/>
    <s v="S10_4757"/>
    <s v="Boras"/>
    <s v="S-844 67"/>
    <x v="8"/>
    <x v="1"/>
    <s v="Larsson"/>
    <s v="Maria"/>
    <x v="1"/>
    <s v="Larsson Maria"/>
  </r>
  <r>
    <n v="10178"/>
    <x v="51"/>
    <x v="68"/>
    <s v="November"/>
    <x v="0"/>
    <n v="24"/>
    <n v="100"/>
    <n v="3492.48"/>
    <n v="12"/>
    <x v="1"/>
    <n v="136"/>
    <s v="S10_4757"/>
    <s v="Toulouse"/>
    <s v="31000"/>
    <x v="1"/>
    <x v="1"/>
    <s v="Roulet"/>
    <s v="Annette"/>
    <x v="1"/>
    <s v="Roulet Annette"/>
  </r>
  <r>
    <n v="10186"/>
    <x v="52"/>
    <x v="69"/>
    <s v="November"/>
    <x v="0"/>
    <n v="26"/>
    <n v="100"/>
    <n v="3854.24"/>
    <n v="9"/>
    <x v="1"/>
    <n v="136"/>
    <s v="S10_4757"/>
    <s v="London"/>
    <s v="WA1 1DP"/>
    <x v="6"/>
    <x v="1"/>
    <s v="Hardy"/>
    <s v="Thomas"/>
    <x v="1"/>
    <s v="Hardy Thomas"/>
  </r>
  <r>
    <n v="10197"/>
    <x v="53"/>
    <x v="70"/>
    <s v="November"/>
    <x v="0"/>
    <n v="45"/>
    <n v="100"/>
    <n v="5324.4"/>
    <n v="6"/>
    <x v="1"/>
    <n v="136"/>
    <s v="S10_4757"/>
    <s v="Barcelona"/>
    <s v="8022"/>
    <x v="7"/>
    <x v="1"/>
    <s v="Saavedra"/>
    <s v="Eduardo"/>
    <x v="1"/>
    <s v="Saavedra Eduardo"/>
  </r>
  <r>
    <n v="10209"/>
    <x v="54"/>
    <x v="71"/>
    <s v="January"/>
    <x v="0"/>
    <n v="39"/>
    <n v="100"/>
    <n v="5197.92"/>
    <n v="8"/>
    <x v="1"/>
    <n v="136"/>
    <s v="S10_4757"/>
    <s v="Los Angeles"/>
    <s v="NA"/>
    <x v="0"/>
    <x v="0"/>
    <s v="Chandler"/>
    <s v="Michael"/>
    <x v="1"/>
    <s v="Chandler Michael"/>
  </r>
  <r>
    <n v="10222"/>
    <x v="55"/>
    <x v="72"/>
    <s v="February"/>
    <x v="0"/>
    <n v="49"/>
    <n v="100"/>
    <n v="5997.6"/>
    <n v="12"/>
    <x v="1"/>
    <n v="136"/>
    <s v="S10_4757"/>
    <s v="San Diego"/>
    <s v="91217"/>
    <x v="0"/>
    <x v="0"/>
    <s v="Thompson"/>
    <s v="Valarie"/>
    <x v="1"/>
    <s v="Thompson Valarie"/>
  </r>
  <r>
    <n v="10248"/>
    <x v="0"/>
    <x v="73"/>
    <s v="May"/>
    <x v="3"/>
    <n v="20"/>
    <n v="100"/>
    <n v="2910.4"/>
    <n v="3"/>
    <x v="1"/>
    <n v="136"/>
    <s v="S10_4757"/>
    <s v="NYC"/>
    <s v="10022"/>
    <x v="0"/>
    <x v="0"/>
    <s v="Yu"/>
    <s v="Kwai"/>
    <x v="0"/>
    <s v="Yu Kwai"/>
  </r>
  <r>
    <n v="10261"/>
    <x v="43"/>
    <x v="74"/>
    <s v="June"/>
    <x v="0"/>
    <n v="27"/>
    <n v="100"/>
    <n v="3378.24"/>
    <n v="1"/>
    <x v="1"/>
    <n v="136"/>
    <s v="S10_4757"/>
    <s v="Montreal"/>
    <s v="H1J 1C3"/>
    <x v="10"/>
    <x v="0"/>
    <s v="Fresnisre"/>
    <s v="Jean"/>
    <x v="1"/>
    <s v="Fresnisre Jean"/>
  </r>
  <r>
    <n v="10273"/>
    <x v="56"/>
    <x v="75"/>
    <s v="July"/>
    <x v="0"/>
    <n v="30"/>
    <n v="100"/>
    <n v="3508.8"/>
    <n v="4"/>
    <x v="1"/>
    <n v="136"/>
    <s v="S10_4757"/>
    <s v="Bruxelles"/>
    <s v="B-1180"/>
    <x v="14"/>
    <x v="1"/>
    <s v="Dewey"/>
    <s v="Catherine"/>
    <x v="1"/>
    <s v="Dewey Catherine"/>
  </r>
  <r>
    <n v="10283"/>
    <x v="57"/>
    <x v="76"/>
    <s v="August"/>
    <x v="0"/>
    <n v="25"/>
    <n v="100"/>
    <n v="2992"/>
    <n v="6"/>
    <x v="1"/>
    <n v="136"/>
    <s v="S10_4757"/>
    <s v="Tsawassen"/>
    <s v="T2F 8M4"/>
    <x v="10"/>
    <x v="0"/>
    <s v="Lincoln"/>
    <s v="Elizabeth"/>
    <x v="0"/>
    <s v="Lincoln Elizabeth"/>
  </r>
  <r>
    <n v="10295"/>
    <x v="58"/>
    <x v="77"/>
    <s v="September"/>
    <x v="0"/>
    <n v="24"/>
    <n v="100"/>
    <n v="3427.2"/>
    <n v="1"/>
    <x v="1"/>
    <n v="136"/>
    <s v="S10_4757"/>
    <s v="Boston"/>
    <s v="51003"/>
    <x v="0"/>
    <x v="0"/>
    <s v="Yoshido"/>
    <s v="Juri"/>
    <x v="1"/>
    <s v="Yoshido Juri"/>
  </r>
  <r>
    <n v="10307"/>
    <x v="29"/>
    <x v="78"/>
    <s v="October"/>
    <x v="0"/>
    <n v="22"/>
    <n v="100"/>
    <n v="2692.8"/>
    <n v="9"/>
    <x v="1"/>
    <n v="136"/>
    <s v="S10_4757"/>
    <s v="Philadelphia"/>
    <s v="71270"/>
    <x v="0"/>
    <x v="0"/>
    <s v="Cervantes"/>
    <s v="Francisca"/>
    <x v="0"/>
    <s v="Cervantes Francisca"/>
  </r>
  <r>
    <n v="10316"/>
    <x v="59"/>
    <x v="79"/>
    <s v="November"/>
    <x v="0"/>
    <n v="33"/>
    <n v="100"/>
    <n v="4128.96"/>
    <n v="17"/>
    <x v="1"/>
    <n v="136"/>
    <s v="S10_4757"/>
    <s v="Cowes"/>
    <s v="PO31 7PJ"/>
    <x v="6"/>
    <x v="1"/>
    <s v="Bennett"/>
    <s v="Helen"/>
    <x v="1"/>
    <s v="Bennett Helen"/>
  </r>
  <r>
    <n v="10325"/>
    <x v="17"/>
    <x v="80"/>
    <s v="November"/>
    <x v="0"/>
    <n v="47"/>
    <n v="64.930000000000007"/>
    <n v="3051.71"/>
    <n v="6"/>
    <x v="1"/>
    <n v="136"/>
    <s v="S10_4757"/>
    <s v="Stavern"/>
    <s v="4110"/>
    <x v="2"/>
    <x v="1"/>
    <s v="Bergulfsen"/>
    <s v="Jonas"/>
    <x v="1"/>
    <s v="Bergulfsen Jonas"/>
  </r>
  <r>
    <n v="10337"/>
    <x v="27"/>
    <x v="81"/>
    <s v="November"/>
    <x v="0"/>
    <n v="25"/>
    <n v="48.05"/>
    <n v="1201.25"/>
    <n v="8"/>
    <x v="1"/>
    <n v="136"/>
    <s v="S10_4757"/>
    <s v="NYC"/>
    <s v="10022"/>
    <x v="0"/>
    <x v="0"/>
    <s v="Hernandez"/>
    <s v="Maria"/>
    <x v="0"/>
    <s v="Hernandez Maria"/>
  </r>
  <r>
    <n v="10350"/>
    <x v="23"/>
    <x v="82"/>
    <s v="December"/>
    <x v="0"/>
    <n v="26"/>
    <n v="75.47"/>
    <n v="1962.22"/>
    <n v="5"/>
    <x v="1"/>
    <n v="136"/>
    <s v="S10_4757"/>
    <s v="Madrid"/>
    <s v="28034"/>
    <x v="7"/>
    <x v="1"/>
    <s v="Freyre"/>
    <s v="Diego"/>
    <x v="0"/>
    <s v="Freyre Diego"/>
  </r>
  <r>
    <n v="10359"/>
    <x v="1"/>
    <x v="83"/>
    <s v="December"/>
    <x v="0"/>
    <n v="48"/>
    <n v="54.68"/>
    <n v="2624.64"/>
    <n v="6"/>
    <x v="1"/>
    <n v="136"/>
    <s v="S10_4757"/>
    <s v="Reims"/>
    <s v="51100"/>
    <x v="1"/>
    <x v="1"/>
    <s v="Henriot"/>
    <s v="Paul"/>
    <x v="0"/>
    <s v="Henriot Paul"/>
  </r>
  <r>
    <n v="10373"/>
    <x v="60"/>
    <x v="84"/>
    <s v="January"/>
    <x v="0"/>
    <n v="39"/>
    <n v="100"/>
    <n v="4046.25"/>
    <n v="3"/>
    <x v="1"/>
    <n v="136"/>
    <s v="S10_4757"/>
    <s v="Oulu"/>
    <s v="90110"/>
    <x v="4"/>
    <x v="1"/>
    <s v="Koskitalo"/>
    <s v="Pirkko"/>
    <x v="1"/>
    <s v="Koskitalo Pirkko"/>
  </r>
  <r>
    <n v="10384"/>
    <x v="4"/>
    <x v="85"/>
    <s v="February"/>
    <x v="0"/>
    <n v="34"/>
    <n v="100"/>
    <n v="4846.7"/>
    <n v="4"/>
    <x v="1"/>
    <n v="136"/>
    <s v="S10_4757"/>
    <s v="San Francisco"/>
    <s v="NA"/>
    <x v="0"/>
    <x v="0"/>
    <s v="Brown"/>
    <s v="Julie"/>
    <x v="1"/>
    <s v="Brown Julie"/>
  </r>
  <r>
    <n v="10395"/>
    <x v="2"/>
    <x v="86"/>
    <s v="March"/>
    <x v="0"/>
    <n v="32"/>
    <n v="100"/>
    <n v="3370.56"/>
    <n v="2"/>
    <x v="1"/>
    <n v="136"/>
    <s v="S10_4757"/>
    <s v="Paris"/>
    <s v="75508"/>
    <x v="1"/>
    <x v="1"/>
    <s v="Da Cunha"/>
    <s v="Daniel"/>
    <x v="1"/>
    <s v="Da Cunha Daniel"/>
  </r>
  <r>
    <n v="10400"/>
    <x v="61"/>
    <x v="87"/>
    <s v="April"/>
    <x v="0"/>
    <n v="64"/>
    <n v="100"/>
    <n v="9661.44"/>
    <n v="9"/>
    <x v="1"/>
    <n v="136"/>
    <s v="S10_4757"/>
    <s v="San Jose"/>
    <s v="94217"/>
    <x v="0"/>
    <x v="0"/>
    <s v="Frick"/>
    <s v="Sue"/>
    <x v="2"/>
    <s v="Frick Sue"/>
  </r>
  <r>
    <n v="10414"/>
    <x v="58"/>
    <x v="88"/>
    <s v="May"/>
    <x v="4"/>
    <n v="19"/>
    <n v="100"/>
    <n v="2764.88"/>
    <n v="3"/>
    <x v="1"/>
    <n v="136"/>
    <s v="S10_4757"/>
    <s v="Boston"/>
    <s v="51003"/>
    <x v="0"/>
    <x v="0"/>
    <s v="Yoshido"/>
    <s v="Juri"/>
    <x v="0"/>
    <s v="Yoshido Juri"/>
  </r>
  <r>
    <n v="10114"/>
    <x v="62"/>
    <x v="89"/>
    <s v="April"/>
    <x v="0"/>
    <n v="31"/>
    <n v="100"/>
    <n v="4305.28"/>
    <n v="8"/>
    <x v="1"/>
    <n v="147"/>
    <s v="S10_4962"/>
    <s v="Paris"/>
    <s v="75012"/>
    <x v="1"/>
    <x v="1"/>
    <s v="Bertrand"/>
    <s v="Marie"/>
    <x v="1"/>
    <s v="Bertrand Marie"/>
  </r>
  <r>
    <n v="10164"/>
    <x v="63"/>
    <x v="90"/>
    <s v="October"/>
    <x v="5"/>
    <n v="21"/>
    <n v="100"/>
    <n v="3536.82"/>
    <n v="2"/>
    <x v="1"/>
    <n v="147"/>
    <s v="S10_4962"/>
    <s v="Graz"/>
    <s v="8010"/>
    <x v="5"/>
    <x v="1"/>
    <s v="Mendel"/>
    <s v="Roland"/>
    <x v="1"/>
    <s v="Mendel Roland"/>
  </r>
  <r>
    <n v="10175"/>
    <x v="49"/>
    <x v="32"/>
    <s v="November"/>
    <x v="0"/>
    <n v="33"/>
    <n v="100"/>
    <n v="5362.83"/>
    <n v="9"/>
    <x v="1"/>
    <n v="147"/>
    <s v="S10_4962"/>
    <s v="London"/>
    <s v="WX3 6FW"/>
    <x v="6"/>
    <x v="1"/>
    <s v="Brown"/>
    <s v="Ann"/>
    <x v="1"/>
    <s v="Brown Ann"/>
  </r>
  <r>
    <n v="10207"/>
    <x v="64"/>
    <x v="91"/>
    <s v="December"/>
    <x v="0"/>
    <n v="31"/>
    <n v="100"/>
    <n v="4076.19"/>
    <n v="15"/>
    <x v="1"/>
    <n v="147"/>
    <s v="S10_4962"/>
    <s v="Boston"/>
    <s v="51003"/>
    <x v="0"/>
    <x v="0"/>
    <s v="Franco"/>
    <s v="Valarie"/>
    <x v="1"/>
    <s v="Franco Valarie"/>
  </r>
  <r>
    <n v="10217"/>
    <x v="65"/>
    <x v="92"/>
    <s v="February"/>
    <x v="0"/>
    <n v="48"/>
    <n v="100"/>
    <n v="7020.48"/>
    <n v="4"/>
    <x v="1"/>
    <n v="147"/>
    <s v="S10_4962"/>
    <s v="Singapore"/>
    <s v="69045"/>
    <x v="9"/>
    <x v="2"/>
    <s v="Victorino"/>
    <s v="Wendy"/>
    <x v="2"/>
    <s v="Victorino Wendy"/>
  </r>
  <r>
    <n v="10229"/>
    <x v="39"/>
    <x v="93"/>
    <s v="March"/>
    <x v="0"/>
    <n v="50"/>
    <n v="100"/>
    <n v="6426.5"/>
    <n v="9"/>
    <x v="1"/>
    <n v="147"/>
    <s v="S10_4962"/>
    <s v="San Rafael"/>
    <s v="97562"/>
    <x v="0"/>
    <x v="0"/>
    <s v="Nelson"/>
    <s v="Valarie"/>
    <x v="1"/>
    <s v="Nelson Valarie"/>
  </r>
  <r>
    <n v="10259"/>
    <x v="65"/>
    <x v="39"/>
    <s v="June"/>
    <x v="0"/>
    <n v="26"/>
    <n v="100"/>
    <n v="4033.38"/>
    <n v="12"/>
    <x v="1"/>
    <n v="147"/>
    <s v="S10_4962"/>
    <s v="Singapore"/>
    <s v="69045"/>
    <x v="9"/>
    <x v="2"/>
    <s v="Victorino"/>
    <s v="Wendy"/>
    <x v="1"/>
    <s v="Victorino Wendy"/>
  </r>
  <r>
    <n v="10281"/>
    <x v="18"/>
    <x v="94"/>
    <s v="August"/>
    <x v="0"/>
    <n v="44"/>
    <n v="100"/>
    <n v="7020.64"/>
    <n v="9"/>
    <x v="1"/>
    <n v="147"/>
    <s v="S10_4962"/>
    <s v="Allentown"/>
    <s v="70267"/>
    <x v="0"/>
    <x v="0"/>
    <s v="Yu"/>
    <s v="Kyung"/>
    <x v="2"/>
    <s v="Yu Kyung"/>
  </r>
  <r>
    <n v="10305"/>
    <x v="15"/>
    <x v="95"/>
    <s v="October"/>
    <x v="0"/>
    <n v="38"/>
    <n v="100"/>
    <n v="6680.78"/>
    <n v="13"/>
    <x v="1"/>
    <n v="147"/>
    <s v="S10_4962"/>
    <s v="Cambridge"/>
    <s v="51247"/>
    <x v="0"/>
    <x v="0"/>
    <s v="Hernandez"/>
    <s v="Marta"/>
    <x v="1"/>
    <s v="Hernandez Marta"/>
  </r>
  <r>
    <n v="10313"/>
    <x v="31"/>
    <x v="96"/>
    <s v="October"/>
    <x v="0"/>
    <n v="40"/>
    <n v="100"/>
    <n v="6678"/>
    <n v="7"/>
    <x v="1"/>
    <n v="147"/>
    <s v="S10_4962"/>
    <s v="Vancouver"/>
    <s v="V3F 2K1"/>
    <x v="10"/>
    <x v="0"/>
    <s v="Tannamuri"/>
    <s v="Yoshi"/>
    <x v="1"/>
    <s v="Tannamuri Yoshi"/>
  </r>
  <r>
    <n v="10334"/>
    <x v="24"/>
    <x v="97"/>
    <s v="November"/>
    <x v="4"/>
    <n v="26"/>
    <n v="100"/>
    <n v="3188.12"/>
    <n v="2"/>
    <x v="1"/>
    <n v="147"/>
    <s v="S10_4962"/>
    <s v="Lule"/>
    <s v="S-958 22"/>
    <x v="8"/>
    <x v="1"/>
    <s v="Berglund"/>
    <s v="Christina"/>
    <x v="1"/>
    <s v="Berglund Christina"/>
  </r>
  <r>
    <n v="10370"/>
    <x v="42"/>
    <x v="49"/>
    <s v="January"/>
    <x v="0"/>
    <n v="35"/>
    <n v="65.63"/>
    <n v="2297.0500000000002"/>
    <n v="4"/>
    <x v="1"/>
    <n v="147"/>
    <s v="S10_4962"/>
    <s v="North Sydney"/>
    <s v="2060"/>
    <x v="3"/>
    <x v="2"/>
    <s v="O'Hara"/>
    <s v="Anna"/>
    <x v="0"/>
    <s v="O'Hara Anna"/>
  </r>
  <r>
    <n v="10425"/>
    <x v="14"/>
    <x v="53"/>
    <s v="May"/>
    <x v="2"/>
    <n v="38"/>
    <n v="100"/>
    <n v="5894.94"/>
    <n v="12"/>
    <x v="1"/>
    <n v="147"/>
    <s v="S10_4962"/>
    <s v="Nantes"/>
    <s v="44000"/>
    <x v="1"/>
    <x v="1"/>
    <s v="Labrune"/>
    <s v="Janine"/>
    <x v="1"/>
    <s v="Labrune Janine"/>
  </r>
  <r>
    <n v="10108"/>
    <x v="66"/>
    <x v="98"/>
    <s v="March"/>
    <x v="0"/>
    <n v="33"/>
    <n v="100"/>
    <n v="5265.15"/>
    <n v="6"/>
    <x v="1"/>
    <n v="194"/>
    <s v="S12_1099"/>
    <s v="Makati City"/>
    <s v="1227 MM"/>
    <x v="15"/>
    <x v="3"/>
    <s v="Cruz"/>
    <s v="Arnold"/>
    <x v="1"/>
    <s v="Cruz Arnold"/>
  </r>
  <r>
    <n v="10122"/>
    <x v="67"/>
    <x v="99"/>
    <s v="May"/>
    <x v="0"/>
    <n v="42"/>
    <n v="100"/>
    <n v="7599.9"/>
    <n v="10"/>
    <x v="1"/>
    <n v="194"/>
    <s v="S12_1099"/>
    <s v="Marseille"/>
    <s v="13008"/>
    <x v="1"/>
    <x v="1"/>
    <s v="Lebihan"/>
    <s v="Laurence"/>
    <x v="2"/>
    <s v="Lebihan Laurence"/>
  </r>
  <r>
    <n v="10135"/>
    <x v="39"/>
    <x v="100"/>
    <s v="July"/>
    <x v="0"/>
    <n v="42"/>
    <n v="100"/>
    <n v="8008.56"/>
    <n v="7"/>
    <x v="1"/>
    <n v="194"/>
    <s v="S12_1099"/>
    <s v="San Rafael"/>
    <s v="97562"/>
    <x v="0"/>
    <x v="0"/>
    <s v="Nelson"/>
    <s v="Valarie"/>
    <x v="2"/>
    <s v="Nelson Valarie"/>
  </r>
  <r>
    <n v="10147"/>
    <x v="41"/>
    <x v="101"/>
    <s v="September"/>
    <x v="0"/>
    <n v="48"/>
    <n v="100"/>
    <n v="9245.76"/>
    <n v="7"/>
    <x v="1"/>
    <n v="194"/>
    <s v="S12_1099"/>
    <s v="Brickhaven"/>
    <s v="58339"/>
    <x v="0"/>
    <x v="0"/>
    <s v="Nelson"/>
    <s v="Allen"/>
    <x v="2"/>
    <s v="Nelson Allen"/>
  </r>
  <r>
    <n v="10169"/>
    <x v="42"/>
    <x v="102"/>
    <s v="November"/>
    <x v="0"/>
    <n v="30"/>
    <n v="100"/>
    <n v="5019.8999999999996"/>
    <n v="2"/>
    <x v="1"/>
    <n v="194"/>
    <s v="S12_1099"/>
    <s v="North Sydney"/>
    <s v="2060"/>
    <x v="3"/>
    <x v="2"/>
    <s v="O'Hara"/>
    <s v="Anna"/>
    <x v="1"/>
    <s v="O'Hara Anna"/>
  </r>
  <r>
    <n v="10181"/>
    <x v="7"/>
    <x v="103"/>
    <s v="November"/>
    <x v="0"/>
    <n v="27"/>
    <n v="100"/>
    <n v="5411.07"/>
    <n v="14"/>
    <x v="1"/>
    <n v="194"/>
    <s v="S12_1099"/>
    <s v="Bergen"/>
    <s v="N 5804"/>
    <x v="2"/>
    <x v="1"/>
    <s v="Oeztan"/>
    <s v="Veysel"/>
    <x v="1"/>
    <s v="Oeztan Veysel"/>
  </r>
  <r>
    <n v="10191"/>
    <x v="68"/>
    <x v="104"/>
    <s v="November"/>
    <x v="0"/>
    <n v="21"/>
    <n v="100"/>
    <n v="3840.9"/>
    <n v="3"/>
    <x v="1"/>
    <n v="194"/>
    <s v="S12_1099"/>
    <s v="Koln"/>
    <s v="50739"/>
    <x v="16"/>
    <x v="1"/>
    <s v="Pfalzheim"/>
    <s v="Henriette"/>
    <x v="1"/>
    <s v="Pfalzheim Henriette"/>
  </r>
  <r>
    <n v="10203"/>
    <x v="23"/>
    <x v="105"/>
    <s v="December"/>
    <x v="0"/>
    <n v="20"/>
    <n v="100"/>
    <n v="3930.4"/>
    <n v="8"/>
    <x v="1"/>
    <n v="194"/>
    <s v="S12_1099"/>
    <s v="Madrid"/>
    <s v="28034"/>
    <x v="7"/>
    <x v="1"/>
    <s v="Freyre"/>
    <s v="Diego"/>
    <x v="1"/>
    <s v="Freyre Diego"/>
  </r>
  <r>
    <n v="10225"/>
    <x v="69"/>
    <x v="106"/>
    <s v="February"/>
    <x v="0"/>
    <n v="27"/>
    <n v="100"/>
    <n v="4517.91"/>
    <n v="9"/>
    <x v="1"/>
    <n v="194"/>
    <s v="S12_1099"/>
    <s v="Gensve"/>
    <s v="1203"/>
    <x v="17"/>
    <x v="1"/>
    <s v="Holz"/>
    <s v="Michael"/>
    <x v="1"/>
    <s v="Holz Michael"/>
  </r>
  <r>
    <n v="10238"/>
    <x v="48"/>
    <x v="107"/>
    <s v="April"/>
    <x v="0"/>
    <n v="28"/>
    <n v="100"/>
    <n v="5774.72"/>
    <n v="3"/>
    <x v="1"/>
    <n v="194"/>
    <s v="S12_1099"/>
    <s v="Kobenhavn"/>
    <s v="1734"/>
    <x v="13"/>
    <x v="1"/>
    <s v="Petersen"/>
    <s v="Jytte"/>
    <x v="1"/>
    <s v="Petersen Jytte"/>
  </r>
  <r>
    <n v="10253"/>
    <x v="22"/>
    <x v="108"/>
    <s v="June"/>
    <x v="3"/>
    <n v="24"/>
    <n v="100"/>
    <n v="3922.56"/>
    <n v="13"/>
    <x v="1"/>
    <n v="194"/>
    <s v="S12_1099"/>
    <s v="Liverpool"/>
    <s v="WX1 6LT"/>
    <x v="6"/>
    <x v="1"/>
    <s v="Devon"/>
    <s v="Elizabeth"/>
    <x v="1"/>
    <s v="Devon Elizabeth"/>
  </r>
  <r>
    <n v="10266"/>
    <x v="70"/>
    <x v="109"/>
    <s v="July"/>
    <x v="0"/>
    <n v="44"/>
    <n v="100"/>
    <n v="9160.36"/>
    <n v="14"/>
    <x v="1"/>
    <n v="194"/>
    <s v="S12_1099"/>
    <s v="Reggio Emilia"/>
    <s v="42100"/>
    <x v="12"/>
    <x v="1"/>
    <s v="Moroni"/>
    <s v="Maurizio"/>
    <x v="2"/>
    <s v="Moroni Maurizio"/>
  </r>
  <r>
    <n v="10276"/>
    <x v="71"/>
    <x v="110"/>
    <s v="August"/>
    <x v="0"/>
    <n v="50"/>
    <n v="100"/>
    <n v="9631"/>
    <n v="3"/>
    <x v="1"/>
    <n v="194"/>
    <s v="S12_1099"/>
    <s v="Brickhaven"/>
    <s v="58339"/>
    <x v="0"/>
    <x v="0"/>
    <s v="Barajas"/>
    <s v="Miguel"/>
    <x v="2"/>
    <s v="Barajas Miguel"/>
  </r>
  <r>
    <n v="10287"/>
    <x v="69"/>
    <x v="111"/>
    <s v="August"/>
    <x v="0"/>
    <n v="21"/>
    <n v="100"/>
    <n v="3432.24"/>
    <n v="12"/>
    <x v="1"/>
    <n v="194"/>
    <s v="S12_1099"/>
    <s v="Gensve"/>
    <s v="1203"/>
    <x v="17"/>
    <x v="1"/>
    <s v="Holz"/>
    <s v="Michael"/>
    <x v="1"/>
    <s v="Holz Michael"/>
  </r>
  <r>
    <n v="10300"/>
    <x v="72"/>
    <x v="112"/>
    <s v="October"/>
    <x v="0"/>
    <n v="33"/>
    <n v="100"/>
    <n v="5521.89"/>
    <n v="5"/>
    <x v="1"/>
    <n v="194"/>
    <s v="S12_1099"/>
    <s v="Frankfurt"/>
    <s v="60528"/>
    <x v="16"/>
    <x v="1"/>
    <s v="Keitel"/>
    <s v="Roland"/>
    <x v="1"/>
    <s v="Keitel Roland"/>
  </r>
  <r>
    <n v="10310"/>
    <x v="68"/>
    <x v="113"/>
    <s v="October"/>
    <x v="0"/>
    <n v="33"/>
    <n v="100"/>
    <n v="6934.62"/>
    <n v="10"/>
    <x v="1"/>
    <n v="194"/>
    <s v="S12_1099"/>
    <s v="Koln"/>
    <s v="50739"/>
    <x v="16"/>
    <x v="1"/>
    <s v="Pfalzheim"/>
    <s v="Henriette"/>
    <x v="1"/>
    <s v="Pfalzheim Henriette"/>
  </r>
  <r>
    <n v="10320"/>
    <x v="24"/>
    <x v="114"/>
    <s v="November"/>
    <x v="0"/>
    <n v="31"/>
    <n v="100"/>
    <n v="6876.11"/>
    <n v="3"/>
    <x v="1"/>
    <n v="194"/>
    <s v="S12_1099"/>
    <s v="Lule"/>
    <s v="S-958 22"/>
    <x v="8"/>
    <x v="1"/>
    <s v="Berglund"/>
    <s v="Christina"/>
    <x v="1"/>
    <s v="Berglund Christina"/>
  </r>
  <r>
    <n v="10363"/>
    <x v="73"/>
    <x v="115"/>
    <s v="January"/>
    <x v="0"/>
    <n v="33"/>
    <n v="85.39"/>
    <n v="2817.87"/>
    <n v="3"/>
    <x v="1"/>
    <n v="194"/>
    <s v="S12_1099"/>
    <s v="Espoo"/>
    <s v="FIN-02271"/>
    <x v="4"/>
    <x v="1"/>
    <s v="Suominen"/>
    <s v="Kalle"/>
    <x v="0"/>
    <s v="Suominen Kalle"/>
  </r>
  <r>
    <n v="10389"/>
    <x v="37"/>
    <x v="23"/>
    <s v="March"/>
    <x v="0"/>
    <n v="26"/>
    <n v="99.04"/>
    <n v="2575.04"/>
    <n v="4"/>
    <x v="1"/>
    <n v="194"/>
    <s v="S12_1099"/>
    <s v="Boras"/>
    <s v="S-844 67"/>
    <x v="8"/>
    <x v="1"/>
    <s v="Larsson"/>
    <s v="Maria"/>
    <x v="0"/>
    <s v="Larsson Maria"/>
  </r>
  <r>
    <n v="10419"/>
    <x v="19"/>
    <x v="116"/>
    <s v="May"/>
    <x v="0"/>
    <n v="12"/>
    <n v="100"/>
    <n v="1961.28"/>
    <n v="13"/>
    <x v="1"/>
    <n v="194"/>
    <s v="S12_1099"/>
    <s v="Salzburg"/>
    <s v="5020"/>
    <x v="5"/>
    <x v="1"/>
    <s v="Pipps"/>
    <s v="Georg"/>
    <x v="0"/>
    <s v="Pipps Georg"/>
  </r>
  <r>
    <n v="10117"/>
    <x v="26"/>
    <x v="117"/>
    <s v="April"/>
    <x v="0"/>
    <n v="33"/>
    <n v="100"/>
    <n v="6034.38"/>
    <n v="9"/>
    <x v="1"/>
    <n v="207"/>
    <s v="S12_1108"/>
    <s v="Singapore"/>
    <s v="79903"/>
    <x v="9"/>
    <x v="3"/>
    <s v="Natividad"/>
    <s v="Eric"/>
    <x v="1"/>
    <s v="Natividad Eric"/>
  </r>
  <r>
    <n v="10127"/>
    <x v="74"/>
    <x v="118"/>
    <s v="June"/>
    <x v="0"/>
    <n v="46"/>
    <n v="100"/>
    <n v="11279.2"/>
    <n v="2"/>
    <x v="1"/>
    <n v="207"/>
    <s v="S12_1108"/>
    <s v="NYC"/>
    <s v="10022"/>
    <x v="0"/>
    <x v="0"/>
    <s v="Young"/>
    <s v="Jeff"/>
    <x v="2"/>
    <s v="Young Jeff"/>
  </r>
  <r>
    <n v="10142"/>
    <x v="39"/>
    <x v="119"/>
    <s v="August"/>
    <x v="0"/>
    <n v="33"/>
    <n v="100"/>
    <n v="8023.29"/>
    <n v="12"/>
    <x v="1"/>
    <n v="207"/>
    <s v="S12_1108"/>
    <s v="San Rafael"/>
    <s v="97562"/>
    <x v="0"/>
    <x v="0"/>
    <s v="Nelson"/>
    <s v="Valarie"/>
    <x v="2"/>
    <s v="Nelson Valarie"/>
  </r>
  <r>
    <n v="10153"/>
    <x v="23"/>
    <x v="120"/>
    <s v="September"/>
    <x v="0"/>
    <n v="20"/>
    <n v="100"/>
    <n v="4904"/>
    <n v="11"/>
    <x v="1"/>
    <n v="207"/>
    <s v="S12_1108"/>
    <s v="Madrid"/>
    <s v="28034"/>
    <x v="7"/>
    <x v="1"/>
    <s v="Freyre"/>
    <s v="Diego"/>
    <x v="1"/>
    <s v="Freyre Diego"/>
  </r>
  <r>
    <n v="10165"/>
    <x v="26"/>
    <x v="121"/>
    <s v="October"/>
    <x v="0"/>
    <n v="44"/>
    <n v="100"/>
    <n v="8594.52"/>
    <n v="3"/>
    <x v="1"/>
    <n v="207"/>
    <s v="S12_1108"/>
    <s v="Singapore"/>
    <s v="79903"/>
    <x v="9"/>
    <x v="3"/>
    <s v="Natividad"/>
    <s v="Eric"/>
    <x v="2"/>
    <s v="Natividad Eric"/>
  </r>
  <r>
    <n v="10176"/>
    <x v="70"/>
    <x v="32"/>
    <s v="November"/>
    <x v="0"/>
    <n v="33"/>
    <n v="100"/>
    <n v="7474.5"/>
    <n v="2"/>
    <x v="1"/>
    <n v="207"/>
    <s v="S12_1108"/>
    <s v="Reggio Emilia"/>
    <s v="42100"/>
    <x v="12"/>
    <x v="1"/>
    <s v="Moroni"/>
    <s v="Maurizio"/>
    <x v="2"/>
    <s v="Moroni Maurizio"/>
  </r>
  <r>
    <n v="10185"/>
    <x v="50"/>
    <x v="69"/>
    <s v="November"/>
    <x v="0"/>
    <n v="21"/>
    <n v="100"/>
    <n v="3883.74"/>
    <n v="13"/>
    <x v="1"/>
    <n v="207"/>
    <s v="S12_1108"/>
    <s v="New Bedford"/>
    <s v="50553"/>
    <x v="0"/>
    <x v="0"/>
    <s v="Tam"/>
    <s v="Wing C"/>
    <x v="1"/>
    <s v="Tam Wing C"/>
  </r>
  <r>
    <n v="10196"/>
    <x v="34"/>
    <x v="70"/>
    <s v="November"/>
    <x v="0"/>
    <n v="47"/>
    <n v="100"/>
    <n v="8887.7000000000007"/>
    <n v="5"/>
    <x v="1"/>
    <n v="207"/>
    <s v="S12_1108"/>
    <s v="New Haven"/>
    <s v="97823"/>
    <x v="0"/>
    <x v="0"/>
    <s v="Murphy"/>
    <s v="Leslie"/>
    <x v="2"/>
    <s v="Murphy Leslie"/>
  </r>
  <r>
    <n v="10208"/>
    <x v="30"/>
    <x v="122"/>
    <s v="January"/>
    <x v="0"/>
    <n v="46"/>
    <n v="100"/>
    <n v="8602.92"/>
    <n v="13"/>
    <x v="1"/>
    <n v="207"/>
    <s v="S12_1108"/>
    <s v="Lyon"/>
    <s v="69004"/>
    <x v="1"/>
    <x v="1"/>
    <s v="Saveley"/>
    <s v="Mary"/>
    <x v="2"/>
    <s v="Saveley Mary"/>
  </r>
  <r>
    <n v="10220"/>
    <x v="75"/>
    <x v="123"/>
    <s v="February"/>
    <x v="0"/>
    <n v="32"/>
    <n v="100"/>
    <n v="7181.44"/>
    <n v="2"/>
    <x v="1"/>
    <n v="207"/>
    <s v="S12_1108"/>
    <s v="Dublin"/>
    <s v="2"/>
    <x v="18"/>
    <x v="1"/>
    <s v="Cassidy"/>
    <s v="Dean"/>
    <x v="2"/>
    <s v="Cassidy Dean"/>
  </r>
  <r>
    <n v="10231"/>
    <x v="76"/>
    <x v="124"/>
    <s v="March"/>
    <x v="0"/>
    <n v="42"/>
    <n v="100"/>
    <n v="8378.58"/>
    <n v="2"/>
    <x v="1"/>
    <n v="207"/>
    <s v="S12_1108"/>
    <s v="Madrid"/>
    <s v="28023"/>
    <x v="7"/>
    <x v="1"/>
    <s v="Fernandez"/>
    <s v="Jesus"/>
    <x v="2"/>
    <s v="Fernandez Jesus"/>
  </r>
  <r>
    <n v="10247"/>
    <x v="73"/>
    <x v="125"/>
    <s v="May"/>
    <x v="0"/>
    <n v="44"/>
    <n v="100"/>
    <n v="10606.2"/>
    <n v="2"/>
    <x v="1"/>
    <n v="207"/>
    <s v="S12_1108"/>
    <s v="Espoo"/>
    <s v="FIN-02271"/>
    <x v="4"/>
    <x v="1"/>
    <s v="Suominen"/>
    <s v="Kalle"/>
    <x v="2"/>
    <s v="Suominen Kalle"/>
  </r>
  <r>
    <n v="10272"/>
    <x v="18"/>
    <x v="126"/>
    <s v="July"/>
    <x v="0"/>
    <n v="35"/>
    <n v="100"/>
    <n v="5818.4"/>
    <n v="2"/>
    <x v="1"/>
    <n v="207"/>
    <s v="S12_1108"/>
    <s v="Allentown"/>
    <s v="70267"/>
    <x v="0"/>
    <x v="0"/>
    <s v="Yu"/>
    <s v="Kyung"/>
    <x v="1"/>
    <s v="Yu Kyung"/>
  </r>
  <r>
    <n v="10282"/>
    <x v="39"/>
    <x v="76"/>
    <s v="August"/>
    <x v="0"/>
    <n v="41"/>
    <n v="100"/>
    <n v="7071.27"/>
    <n v="5"/>
    <x v="1"/>
    <n v="207"/>
    <s v="S12_1108"/>
    <s v="San Rafael"/>
    <s v="97562"/>
    <x v="0"/>
    <x v="0"/>
    <s v="Nelson"/>
    <s v="Valarie"/>
    <x v="2"/>
    <s v="Nelson Valarie"/>
  </r>
  <r>
    <n v="10293"/>
    <x v="36"/>
    <x v="127"/>
    <s v="September"/>
    <x v="0"/>
    <n v="46"/>
    <n v="100"/>
    <n v="8411.56"/>
    <n v="8"/>
    <x v="1"/>
    <n v="207"/>
    <s v="S12_1108"/>
    <s v="Torino"/>
    <s v="10100"/>
    <x v="12"/>
    <x v="1"/>
    <s v="Accorti"/>
    <s v="Paolo"/>
    <x v="2"/>
    <s v="Accorti Paolo"/>
  </r>
  <r>
    <n v="10306"/>
    <x v="77"/>
    <x v="78"/>
    <s v="October"/>
    <x v="0"/>
    <n v="31"/>
    <n v="100"/>
    <n v="6570.76"/>
    <n v="13"/>
    <x v="1"/>
    <n v="207"/>
    <s v="S12_1108"/>
    <s v="Manchester"/>
    <s v="EC2 5NT"/>
    <x v="6"/>
    <x v="1"/>
    <s v="Ashworth"/>
    <s v="Victoria"/>
    <x v="1"/>
    <s v="Ashworth Victoria"/>
  </r>
  <r>
    <n v="10314"/>
    <x v="78"/>
    <x v="96"/>
    <s v="October"/>
    <x v="0"/>
    <n v="38"/>
    <n v="100"/>
    <n v="7975.44"/>
    <n v="5"/>
    <x v="1"/>
    <n v="207"/>
    <s v="S12_1108"/>
    <s v="Aaarhus"/>
    <s v="8200"/>
    <x v="13"/>
    <x v="1"/>
    <s v="Ibsen"/>
    <s v="Palle"/>
    <x v="2"/>
    <s v="Ibsen Palle"/>
  </r>
  <r>
    <n v="10336"/>
    <x v="62"/>
    <x v="128"/>
    <s v="November"/>
    <x v="0"/>
    <n v="33"/>
    <n v="57.22"/>
    <n v="1888.26"/>
    <n v="10"/>
    <x v="1"/>
    <n v="207"/>
    <s v="S12_1108"/>
    <s v="Paris"/>
    <s v="75012"/>
    <x v="1"/>
    <x v="1"/>
    <s v="Bertrand"/>
    <s v="Marie"/>
    <x v="0"/>
    <s v="Bertrand Marie"/>
  </r>
  <r>
    <n v="10348"/>
    <x v="25"/>
    <x v="79"/>
    <s v="November"/>
    <x v="0"/>
    <n v="48"/>
    <n v="52.36"/>
    <n v="2513.2800000000002"/>
    <n v="8"/>
    <x v="1"/>
    <n v="207"/>
    <s v="S12_1108"/>
    <s v="Madrid"/>
    <s v="28023"/>
    <x v="7"/>
    <x v="1"/>
    <s v="Sommer"/>
    <s v="Mart¡n"/>
    <x v="0"/>
    <s v="Sommer Mart¡n"/>
  </r>
  <r>
    <n v="10371"/>
    <x v="39"/>
    <x v="129"/>
    <s v="January"/>
    <x v="0"/>
    <n v="32"/>
    <n v="100"/>
    <n v="3560.64"/>
    <n v="6"/>
    <x v="1"/>
    <n v="207"/>
    <s v="S12_1108"/>
    <s v="San Rafael"/>
    <s v="97562"/>
    <x v="0"/>
    <x v="0"/>
    <s v="Nelson"/>
    <s v="Valarie"/>
    <x v="1"/>
    <s v="Nelson Valarie"/>
  </r>
  <r>
    <n v="10382"/>
    <x v="39"/>
    <x v="50"/>
    <s v="February"/>
    <x v="0"/>
    <n v="34"/>
    <n v="100"/>
    <n v="3823.64"/>
    <n v="10"/>
    <x v="1"/>
    <n v="207"/>
    <s v="S12_1108"/>
    <s v="San Rafael"/>
    <s v="97562"/>
    <x v="0"/>
    <x v="0"/>
    <s v="Nelson"/>
    <s v="Valarie"/>
    <x v="1"/>
    <s v="Nelson Valarie"/>
  </r>
  <r>
    <n v="10413"/>
    <x v="13"/>
    <x v="130"/>
    <s v="May"/>
    <x v="0"/>
    <n v="36"/>
    <n v="100"/>
    <n v="8677.7999999999993"/>
    <n v="2"/>
    <x v="1"/>
    <n v="207"/>
    <s v="S12_1108"/>
    <s v="Bridgewater"/>
    <s v="97562"/>
    <x v="0"/>
    <x v="0"/>
    <s v="King"/>
    <s v="Julie"/>
    <x v="2"/>
    <s v="King Julie"/>
  </r>
  <r>
    <n v="10113"/>
    <x v="39"/>
    <x v="131"/>
    <s v="March"/>
    <x v="0"/>
    <n v="21"/>
    <n v="100"/>
    <n v="3415.44"/>
    <n v="2"/>
    <x v="2"/>
    <n v="136"/>
    <s v="S12_1666"/>
    <s v="San Rafael"/>
    <s v="97562"/>
    <x v="0"/>
    <x v="0"/>
    <s v="Nelson"/>
    <s v="Valarie"/>
    <x v="1"/>
    <s v="Nelson Valarie"/>
  </r>
  <r>
    <n v="10216"/>
    <x v="38"/>
    <x v="132"/>
    <s v="February"/>
    <x v="0"/>
    <n v="43"/>
    <n v="100"/>
    <n v="5759.42"/>
    <n v="1"/>
    <x v="2"/>
    <n v="136"/>
    <s v="S12_1666"/>
    <s v="Versailles"/>
    <s v="78000"/>
    <x v="1"/>
    <x v="1"/>
    <s v="Tonini"/>
    <s v="Daniel"/>
    <x v="1"/>
    <s v="Tonini Daniel"/>
  </r>
  <r>
    <n v="10189"/>
    <x v="3"/>
    <x v="7"/>
    <s v="November"/>
    <x v="0"/>
    <n v="28"/>
    <n v="100"/>
    <n v="4512.4799999999996"/>
    <n v="1"/>
    <x v="0"/>
    <n v="150"/>
    <s v="S12_2823"/>
    <s v="Pasadena"/>
    <s v="90003"/>
    <x v="0"/>
    <x v="0"/>
    <s v="Young"/>
    <s v="Julie"/>
    <x v="1"/>
    <s v="Young Julie"/>
  </r>
  <r>
    <n v="10224"/>
    <x v="6"/>
    <x v="133"/>
    <s v="February"/>
    <x v="0"/>
    <n v="43"/>
    <n v="100"/>
    <n v="6087.94"/>
    <n v="6"/>
    <x v="0"/>
    <n v="150"/>
    <s v="S12_2823"/>
    <s v="Lille"/>
    <s v="59000"/>
    <x v="1"/>
    <x v="1"/>
    <s v="Rance"/>
    <s v="Martine"/>
    <x v="1"/>
    <s v="Rance Martine"/>
  </r>
  <r>
    <n v="10319"/>
    <x v="79"/>
    <x v="114"/>
    <s v="November"/>
    <x v="0"/>
    <n v="30"/>
    <n v="100"/>
    <n v="4111.8"/>
    <n v="9"/>
    <x v="0"/>
    <n v="150"/>
    <s v="S12_2823"/>
    <s v="NYC"/>
    <s v="10022"/>
    <x v="0"/>
    <x v="0"/>
    <s v="Kuo"/>
    <s v="Kee"/>
    <x v="1"/>
    <s v="Kuo Kee"/>
  </r>
  <r>
    <n v="10104"/>
    <x v="23"/>
    <x v="134"/>
    <s v="January"/>
    <x v="0"/>
    <n v="34"/>
    <n v="100"/>
    <n v="5958.5"/>
    <n v="1"/>
    <x v="1"/>
    <n v="151"/>
    <s v="S12_3148"/>
    <s v="Madrid"/>
    <s v="28034"/>
    <x v="7"/>
    <x v="1"/>
    <s v="Freyre"/>
    <s v="Diego"/>
    <x v="1"/>
    <s v="Freyre Diego"/>
  </r>
  <r>
    <n v="10230"/>
    <x v="72"/>
    <x v="135"/>
    <s v="March"/>
    <x v="0"/>
    <n v="43"/>
    <n v="100"/>
    <n v="7016.31"/>
    <n v="1"/>
    <x v="1"/>
    <n v="151"/>
    <s v="S12_3148"/>
    <s v="Frankfurt"/>
    <s v="60528"/>
    <x v="16"/>
    <x v="1"/>
    <s v="Keitel"/>
    <s v="Roland"/>
    <x v="2"/>
    <s v="Keitel Roland"/>
  </r>
  <r>
    <n v="10324"/>
    <x v="11"/>
    <x v="80"/>
    <s v="November"/>
    <x v="0"/>
    <n v="27"/>
    <n v="54.33"/>
    <n v="1466.91"/>
    <n v="1"/>
    <x v="1"/>
    <n v="151"/>
    <s v="S12_3148"/>
    <s v="NYC"/>
    <s v="10022"/>
    <x v="0"/>
    <x v="0"/>
    <s v="Frick"/>
    <s v="Michael"/>
    <x v="0"/>
    <s v="Frick Michael"/>
  </r>
  <r>
    <n v="10358"/>
    <x v="23"/>
    <x v="48"/>
    <s v="December"/>
    <x v="0"/>
    <n v="49"/>
    <n v="55.34"/>
    <n v="2711.66"/>
    <n v="5"/>
    <x v="1"/>
    <n v="151"/>
    <s v="S12_3148"/>
    <s v="Madrid"/>
    <s v="28034"/>
    <x v="7"/>
    <x v="1"/>
    <s v="Freyre"/>
    <s v="Diego"/>
    <x v="0"/>
    <s v="Freyre Diego"/>
  </r>
  <r>
    <n v="10372"/>
    <x v="35"/>
    <x v="136"/>
    <s v="January"/>
    <x v="0"/>
    <n v="40"/>
    <n v="100"/>
    <n v="5862"/>
    <n v="4"/>
    <x v="1"/>
    <n v="151"/>
    <s v="S12_3148"/>
    <s v="Minato-ku"/>
    <s v="106-0032"/>
    <x v="11"/>
    <x v="3"/>
    <s v="Shimamura"/>
    <s v="Akiko"/>
    <x v="1"/>
    <s v="Shimamura Akiko"/>
  </r>
  <r>
    <n v="10160"/>
    <x v="54"/>
    <x v="137"/>
    <s v="October"/>
    <x v="0"/>
    <n v="46"/>
    <n v="100"/>
    <n v="5294.14"/>
    <n v="6"/>
    <x v="1"/>
    <n v="117"/>
    <s v="S12_3380"/>
    <s v="Los Angeles"/>
    <s v="NA"/>
    <x v="0"/>
    <x v="0"/>
    <s v="Chandler"/>
    <s v="Michael"/>
    <x v="1"/>
    <s v="Chandler Michael"/>
  </r>
  <r>
    <n v="10170"/>
    <x v="63"/>
    <x v="102"/>
    <s v="November"/>
    <x v="0"/>
    <n v="47"/>
    <n v="100"/>
    <n v="5464.69"/>
    <n v="4"/>
    <x v="1"/>
    <n v="117"/>
    <s v="S12_3380"/>
    <s v="Graz"/>
    <s v="8010"/>
    <x v="5"/>
    <x v="1"/>
    <s v="Mendel"/>
    <s v="Roland"/>
    <x v="1"/>
    <s v="Mendel Roland"/>
  </r>
  <r>
    <n v="10212"/>
    <x v="23"/>
    <x v="138"/>
    <s v="January"/>
    <x v="0"/>
    <n v="39"/>
    <n v="100"/>
    <n v="4946.76"/>
    <n v="16"/>
    <x v="1"/>
    <n v="117"/>
    <s v="S12_3380"/>
    <s v="Madrid"/>
    <s v="28034"/>
    <x v="7"/>
    <x v="1"/>
    <s v="Freyre"/>
    <s v="Diego"/>
    <x v="1"/>
    <s v="Freyre Diego"/>
  </r>
  <r>
    <n v="10376"/>
    <x v="80"/>
    <x v="139"/>
    <s v="February"/>
    <x v="0"/>
    <n v="35"/>
    <n v="100"/>
    <n v="3987.2"/>
    <n v="1"/>
    <x v="1"/>
    <n v="117"/>
    <s v="S12_3380"/>
    <s v="Glendale"/>
    <s v="92561"/>
    <x v="0"/>
    <x v="0"/>
    <s v="Young"/>
    <s v="Leslie"/>
    <x v="1"/>
    <s v="Young Leslie"/>
  </r>
  <r>
    <n v="10349"/>
    <x v="74"/>
    <x v="140"/>
    <s v="December"/>
    <x v="0"/>
    <n v="26"/>
    <n v="100"/>
    <n v="4408.5600000000004"/>
    <n v="10"/>
    <x v="1"/>
    <n v="173"/>
    <s v="S12_3891"/>
    <s v="NYC"/>
    <s v="10022"/>
    <x v="0"/>
    <x v="0"/>
    <s v="Young"/>
    <s v="Jeff"/>
    <x v="1"/>
    <s v="Young Jeff"/>
  </r>
  <r>
    <n v="10396"/>
    <x v="39"/>
    <x v="141"/>
    <s v="March"/>
    <x v="0"/>
    <n v="33"/>
    <n v="100"/>
    <n v="6109.29"/>
    <n v="3"/>
    <x v="1"/>
    <n v="173"/>
    <s v="S12_3891"/>
    <s v="San Rafael"/>
    <s v="97562"/>
    <x v="0"/>
    <x v="0"/>
    <s v="Nelson"/>
    <s v="Valarie"/>
    <x v="1"/>
    <s v="Nelson Valarie"/>
  </r>
  <r>
    <n v="10377"/>
    <x v="16"/>
    <x v="142"/>
    <s v="February"/>
    <x v="0"/>
    <n v="24"/>
    <n v="67.83"/>
    <n v="1627.92"/>
    <n v="5"/>
    <x v="1"/>
    <n v="79"/>
    <s v="S12_3990"/>
    <s v="Helsinki"/>
    <s v="21240"/>
    <x v="4"/>
    <x v="1"/>
    <s v="Karttunen"/>
    <s v="Matti"/>
    <x v="0"/>
    <s v="Karttunen Matti"/>
  </r>
  <r>
    <n v="10115"/>
    <x v="27"/>
    <x v="143"/>
    <s v="April"/>
    <x v="0"/>
    <n v="46"/>
    <n v="100"/>
    <n v="5723.78"/>
    <n v="5"/>
    <x v="2"/>
    <n v="118"/>
    <s v="S12_4473"/>
    <s v="NYC"/>
    <s v="10022"/>
    <x v="0"/>
    <x v="0"/>
    <s v="Hernandez"/>
    <s v="Maria"/>
    <x v="1"/>
    <s v="Hernandez Maria"/>
  </r>
  <r>
    <n v="10141"/>
    <x v="73"/>
    <x v="144"/>
    <s v="August"/>
    <x v="0"/>
    <n v="21"/>
    <n v="100"/>
    <n v="2140.11"/>
    <n v="5"/>
    <x v="2"/>
    <n v="118"/>
    <s v="S12_4473"/>
    <s v="Espoo"/>
    <s v="FIN-02271"/>
    <x v="4"/>
    <x v="1"/>
    <s v="Suominen"/>
    <s v="Kalle"/>
    <x v="0"/>
    <s v="Suominen Kalle"/>
  </r>
  <r>
    <n v="10151"/>
    <x v="60"/>
    <x v="145"/>
    <s v="September"/>
    <x v="0"/>
    <n v="24"/>
    <n v="100"/>
    <n v="3327.6"/>
    <n v="3"/>
    <x v="2"/>
    <n v="118"/>
    <s v="S12_4473"/>
    <s v="Oulu"/>
    <s v="90110"/>
    <x v="4"/>
    <x v="1"/>
    <s v="Koskitalo"/>
    <s v="Pirkko"/>
    <x v="1"/>
    <s v="Koskitalo Pirkko"/>
  </r>
  <r>
    <n v="10184"/>
    <x v="81"/>
    <x v="69"/>
    <s v="November"/>
    <x v="0"/>
    <n v="37"/>
    <n v="100"/>
    <n v="4516.22"/>
    <n v="6"/>
    <x v="2"/>
    <n v="118"/>
    <s v="S12_4473"/>
    <s v="Sevilla"/>
    <s v="41101"/>
    <x v="7"/>
    <x v="1"/>
    <s v="Roel"/>
    <s v="Jose Pedro"/>
    <x v="1"/>
    <s v="Roel Jose Pedro"/>
  </r>
  <r>
    <n v="10195"/>
    <x v="47"/>
    <x v="34"/>
    <s v="November"/>
    <x v="0"/>
    <n v="49"/>
    <n v="100"/>
    <n v="6445.46"/>
    <n v="6"/>
    <x v="2"/>
    <n v="118"/>
    <s v="S12_4473"/>
    <s v="White Plains"/>
    <s v="24067"/>
    <x v="0"/>
    <x v="0"/>
    <s v="Frick"/>
    <s v="Steve"/>
    <x v="1"/>
    <s v="Frick Steve"/>
  </r>
  <r>
    <n v="10219"/>
    <x v="82"/>
    <x v="146"/>
    <s v="February"/>
    <x v="0"/>
    <n v="48"/>
    <n v="100"/>
    <n v="4891.68"/>
    <n v="2"/>
    <x v="2"/>
    <n v="118"/>
    <s v="S12_4473"/>
    <s v="Brisbane"/>
    <s v="94217"/>
    <x v="0"/>
    <x v="0"/>
    <s v="Taylor"/>
    <s v="Sue"/>
    <x v="1"/>
    <s v="Taylor Sue"/>
  </r>
  <r>
    <n v="10246"/>
    <x v="23"/>
    <x v="125"/>
    <s v="May"/>
    <x v="0"/>
    <n v="46"/>
    <n v="100"/>
    <n v="5069.66"/>
    <n v="5"/>
    <x v="2"/>
    <n v="118"/>
    <s v="S12_4473"/>
    <s v="Madrid"/>
    <s v="28034"/>
    <x v="7"/>
    <x v="1"/>
    <s v="Freyre"/>
    <s v="Diego"/>
    <x v="1"/>
    <s v="Freyre Diego"/>
  </r>
  <r>
    <n v="10271"/>
    <x v="39"/>
    <x v="126"/>
    <s v="July"/>
    <x v="0"/>
    <n v="31"/>
    <n v="97.17"/>
    <n v="3012.27"/>
    <n v="5"/>
    <x v="2"/>
    <n v="118"/>
    <s v="S12_4473"/>
    <s v="San Rafael"/>
    <s v="97562"/>
    <x v="0"/>
    <x v="0"/>
    <s v="Nelson"/>
    <s v="Valarie"/>
    <x v="1"/>
    <s v="Nelson Valarie"/>
  </r>
  <r>
    <n v="10292"/>
    <x v="0"/>
    <x v="42"/>
    <s v="September"/>
    <x v="0"/>
    <n v="21"/>
    <n v="100"/>
    <n v="2214.87"/>
    <n v="8"/>
    <x v="2"/>
    <n v="118"/>
    <s v="S12_4473"/>
    <s v="NYC"/>
    <s v="10022"/>
    <x v="0"/>
    <x v="0"/>
    <s v="Yu"/>
    <s v="Kwai"/>
    <x v="0"/>
    <s v="Yu Kwai"/>
  </r>
  <r>
    <n v="10412"/>
    <x v="23"/>
    <x v="147"/>
    <s v="May"/>
    <x v="0"/>
    <n v="54"/>
    <n v="100"/>
    <n v="5951.34"/>
    <n v="5"/>
    <x v="2"/>
    <n v="118"/>
    <s v="S12_4473"/>
    <s v="Madrid"/>
    <s v="28034"/>
    <x v="7"/>
    <x v="1"/>
    <s v="Freyre"/>
    <s v="Diego"/>
    <x v="1"/>
    <s v="Freyre Diego"/>
  </r>
  <r>
    <n v="10192"/>
    <x v="40"/>
    <x v="104"/>
    <s v="November"/>
    <x v="0"/>
    <n v="27"/>
    <n v="100"/>
    <n v="3544.56"/>
    <n v="16"/>
    <x v="1"/>
    <n v="115"/>
    <s v="S12_4675"/>
    <s v="Nashua"/>
    <s v="62005"/>
    <x v="0"/>
    <x v="0"/>
    <s v="Young"/>
    <s v="Valarie"/>
    <x v="1"/>
    <s v="Young Valarie"/>
  </r>
  <r>
    <n v="10239"/>
    <x v="60"/>
    <x v="148"/>
    <s v="April"/>
    <x v="0"/>
    <n v="21"/>
    <n v="93.28"/>
    <n v="1958.88"/>
    <n v="5"/>
    <x v="1"/>
    <n v="115"/>
    <s v="S12_4675"/>
    <s v="Oulu"/>
    <s v="90110"/>
    <x v="4"/>
    <x v="1"/>
    <s v="Koskitalo"/>
    <s v="Pirkko"/>
    <x v="0"/>
    <s v="Koskitalo Pirkko"/>
  </r>
  <r>
    <n v="10277"/>
    <x v="26"/>
    <x v="149"/>
    <s v="August"/>
    <x v="0"/>
    <n v="28"/>
    <n v="100"/>
    <n v="3127.88"/>
    <n v="1"/>
    <x v="1"/>
    <n v="115"/>
    <s v="S12_4675"/>
    <s v="Singapore"/>
    <s v="79903"/>
    <x v="9"/>
    <x v="3"/>
    <s v="Natividad"/>
    <s v="Eric"/>
    <x v="1"/>
    <s v="Natividad Eric"/>
  </r>
  <r>
    <n v="10321"/>
    <x v="21"/>
    <x v="45"/>
    <s v="November"/>
    <x v="0"/>
    <n v="24"/>
    <n v="100"/>
    <n v="2984.88"/>
    <n v="15"/>
    <x v="1"/>
    <n v="115"/>
    <s v="S12_4675"/>
    <s v="New Bedford"/>
    <s v="50553"/>
    <x v="0"/>
    <x v="0"/>
    <s v="Benitez"/>
    <s v="Violeta"/>
    <x v="0"/>
    <s v="Benitez Violeta"/>
  </r>
  <r>
    <n v="10405"/>
    <x v="83"/>
    <x v="150"/>
    <s v="April"/>
    <x v="0"/>
    <n v="97"/>
    <n v="93.28"/>
    <n v="9048.16"/>
    <n v="5"/>
    <x v="1"/>
    <n v="115"/>
    <s v="S12_4675"/>
    <s v="Strasbourg"/>
    <s v="67000"/>
    <x v="1"/>
    <x v="1"/>
    <s v="Citeaux"/>
    <s v="Frederique"/>
    <x v="2"/>
    <s v="Citeaux Frederique"/>
  </r>
  <r>
    <n v="10109"/>
    <x v="45"/>
    <x v="151"/>
    <s v="March"/>
    <x v="0"/>
    <n v="26"/>
    <n v="100"/>
    <n v="4379.18"/>
    <n v="4"/>
    <x v="1"/>
    <n v="141"/>
    <s v="S18_1129"/>
    <s v="Philadelphia"/>
    <s v="71270"/>
    <x v="0"/>
    <x v="0"/>
    <s v="Hernandez"/>
    <s v="Rosa"/>
    <x v="1"/>
    <s v="Hernandez Rosa"/>
  </r>
  <r>
    <n v="10136"/>
    <x v="51"/>
    <x v="152"/>
    <s v="July"/>
    <x v="0"/>
    <n v="25"/>
    <n v="100"/>
    <n v="3644.75"/>
    <n v="2"/>
    <x v="1"/>
    <n v="141"/>
    <s v="S18_1129"/>
    <s v="Toulouse"/>
    <s v="31000"/>
    <x v="1"/>
    <x v="1"/>
    <s v="Roulet"/>
    <s v="Annette"/>
    <x v="1"/>
    <s v="Roulet Annette"/>
  </r>
  <r>
    <n v="10148"/>
    <x v="42"/>
    <x v="153"/>
    <s v="September"/>
    <x v="0"/>
    <n v="23"/>
    <n v="100"/>
    <n v="2702.04"/>
    <n v="13"/>
    <x v="1"/>
    <n v="141"/>
    <s v="S18_1129"/>
    <s v="North Sydney"/>
    <s v="2060"/>
    <x v="3"/>
    <x v="2"/>
    <s v="O'Hara"/>
    <s v="Anna"/>
    <x v="0"/>
    <s v="O'Hara Anna"/>
  </r>
  <r>
    <n v="10161"/>
    <x v="78"/>
    <x v="154"/>
    <s v="October"/>
    <x v="0"/>
    <n v="28"/>
    <n v="100"/>
    <n v="3764.88"/>
    <n v="12"/>
    <x v="1"/>
    <n v="141"/>
    <s v="S18_1129"/>
    <s v="Aaarhus"/>
    <s v="8200"/>
    <x v="13"/>
    <x v="1"/>
    <s v="Ibsen"/>
    <s v="Palle"/>
    <x v="1"/>
    <s v="Ibsen Palle"/>
  </r>
  <r>
    <n v="10171"/>
    <x v="43"/>
    <x v="155"/>
    <s v="November"/>
    <x v="0"/>
    <n v="35"/>
    <n v="100"/>
    <n v="4508"/>
    <n v="2"/>
    <x v="1"/>
    <n v="141"/>
    <s v="S18_1129"/>
    <s v="Montreal"/>
    <s v="H1J 1C3"/>
    <x v="10"/>
    <x v="0"/>
    <s v="Fresnisre"/>
    <s v="Jean"/>
    <x v="1"/>
    <s v="Fresnisre Jean"/>
  </r>
  <r>
    <n v="10204"/>
    <x v="74"/>
    <x v="105"/>
    <s v="December"/>
    <x v="0"/>
    <n v="42"/>
    <n v="100"/>
    <n v="6182.4"/>
    <n v="17"/>
    <x v="1"/>
    <n v="141"/>
    <s v="S18_1129"/>
    <s v="NYC"/>
    <s v="10022"/>
    <x v="0"/>
    <x v="0"/>
    <s v="Young"/>
    <s v="Jeff"/>
    <x v="1"/>
    <s v="Young Jeff"/>
  </r>
  <r>
    <n v="10240"/>
    <x v="44"/>
    <x v="156"/>
    <s v="April"/>
    <x v="0"/>
    <n v="41"/>
    <n v="100"/>
    <n v="5628.89"/>
    <n v="3"/>
    <x v="1"/>
    <n v="141"/>
    <s v="S18_1129"/>
    <s v="Osaka"/>
    <s v="530-0003"/>
    <x v="11"/>
    <x v="3"/>
    <s v="Kentary"/>
    <s v="Mory"/>
    <x v="1"/>
    <s v="Kentary Mory"/>
  </r>
  <r>
    <n v="10278"/>
    <x v="84"/>
    <x v="157"/>
    <s v="August"/>
    <x v="0"/>
    <n v="34"/>
    <n v="100"/>
    <n v="4667.8599999999997"/>
    <n v="6"/>
    <x v="1"/>
    <n v="141"/>
    <s v="S18_1129"/>
    <s v="Las Vegas"/>
    <s v="83030"/>
    <x v="0"/>
    <x v="0"/>
    <s v="King"/>
    <s v="Sue"/>
    <x v="1"/>
    <s v="King Sue"/>
  </r>
  <r>
    <n v="10301"/>
    <x v="85"/>
    <x v="158"/>
    <s v="October"/>
    <x v="0"/>
    <n v="37"/>
    <n v="100"/>
    <n v="5917.78"/>
    <n v="8"/>
    <x v="1"/>
    <n v="141"/>
    <s v="S18_1129"/>
    <s v="Oslo"/>
    <s v="N 0106"/>
    <x v="2"/>
    <x v="1"/>
    <s v="Klaeboe"/>
    <s v="Jan"/>
    <x v="1"/>
    <s v="Klaeboe Jan"/>
  </r>
  <r>
    <n v="10331"/>
    <x v="45"/>
    <x v="159"/>
    <s v="November"/>
    <x v="0"/>
    <n v="46"/>
    <n v="100"/>
    <n v="6434.02"/>
    <n v="6"/>
    <x v="1"/>
    <n v="141"/>
    <s v="S18_1129"/>
    <s v="Philadelphia"/>
    <s v="71270"/>
    <x v="0"/>
    <x v="0"/>
    <s v="Hernandez"/>
    <s v="Rosa"/>
    <x v="1"/>
    <s v="Hernandez Rosa"/>
  </r>
  <r>
    <n v="10342"/>
    <x v="10"/>
    <x v="20"/>
    <s v="November"/>
    <x v="0"/>
    <n v="40"/>
    <n v="100"/>
    <n v="6454.4"/>
    <n v="2"/>
    <x v="1"/>
    <n v="141"/>
    <s v="S18_1129"/>
    <s v="Melbourne"/>
    <s v="3004"/>
    <x v="3"/>
    <x v="2"/>
    <s v="Ferguson"/>
    <s v="Peter"/>
    <x v="1"/>
    <s v="Ferguson Peter"/>
  </r>
  <r>
    <n v="10356"/>
    <x v="2"/>
    <x v="160"/>
    <s v="December"/>
    <x v="0"/>
    <n v="43"/>
    <n v="97.6"/>
    <n v="4196.8"/>
    <n v="8"/>
    <x v="1"/>
    <n v="141"/>
    <s v="S18_1129"/>
    <s v="Paris"/>
    <s v="75508"/>
    <x v="1"/>
    <x v="1"/>
    <s v="Da Cunha"/>
    <s v="Daniel"/>
    <x v="1"/>
    <s v="Da Cunha Daniel"/>
  </r>
  <r>
    <n v="10365"/>
    <x v="50"/>
    <x v="161"/>
    <s v="January"/>
    <x v="0"/>
    <n v="30"/>
    <n v="87.06"/>
    <n v="2611.8000000000002"/>
    <n v="1"/>
    <x v="1"/>
    <n v="141"/>
    <s v="S18_1129"/>
    <s v="New Bedford"/>
    <s v="50553"/>
    <x v="0"/>
    <x v="0"/>
    <s v="Tam"/>
    <s v="Wing C"/>
    <x v="0"/>
    <s v="Tam Wing C"/>
  </r>
  <r>
    <n v="10390"/>
    <x v="39"/>
    <x v="162"/>
    <s v="March"/>
    <x v="0"/>
    <n v="36"/>
    <n v="93.77"/>
    <n v="3375.72"/>
    <n v="14"/>
    <x v="1"/>
    <n v="141"/>
    <s v="S18_1129"/>
    <s v="San Rafael"/>
    <s v="97562"/>
    <x v="0"/>
    <x v="0"/>
    <s v="Nelson"/>
    <s v="Valarie"/>
    <x v="1"/>
    <s v="Nelson Valarie"/>
  </r>
  <r>
    <n v="10406"/>
    <x v="48"/>
    <x v="163"/>
    <s v="April"/>
    <x v="1"/>
    <n v="61"/>
    <n v="100"/>
    <n v="8374.69"/>
    <n v="3"/>
    <x v="1"/>
    <n v="141"/>
    <s v="S18_1129"/>
    <s v="Kobenhavn"/>
    <s v="1734"/>
    <x v="13"/>
    <x v="1"/>
    <s v="Petersen"/>
    <s v="Jytte"/>
    <x v="2"/>
    <s v="Petersen Jytte"/>
  </r>
  <r>
    <n v="10102"/>
    <x v="11"/>
    <x v="164"/>
    <s v="January"/>
    <x v="0"/>
    <n v="39"/>
    <n v="100"/>
    <n v="4808.3100000000004"/>
    <n v="2"/>
    <x v="3"/>
    <n v="102"/>
    <s v="S18_1342"/>
    <s v="NYC"/>
    <s v="10022"/>
    <x v="0"/>
    <x v="0"/>
    <s v="Frick"/>
    <s v="Michael"/>
    <x v="1"/>
    <s v="Frick Michael"/>
  </r>
  <r>
    <n v="10111"/>
    <x v="8"/>
    <x v="165"/>
    <s v="March"/>
    <x v="0"/>
    <n v="33"/>
    <n v="99.66"/>
    <n v="3288.78"/>
    <n v="6"/>
    <x v="3"/>
    <n v="102"/>
    <s v="S18_1342"/>
    <s v="San Francisco"/>
    <s v="NA"/>
    <x v="0"/>
    <x v="0"/>
    <s v="Murphy"/>
    <s v="Julie"/>
    <x v="1"/>
    <s v="Murphy Julie"/>
  </r>
  <r>
    <n v="10125"/>
    <x v="10"/>
    <x v="166"/>
    <s v="May"/>
    <x v="0"/>
    <n v="32"/>
    <n v="100"/>
    <n v="3254.72"/>
    <n v="1"/>
    <x v="3"/>
    <n v="102"/>
    <s v="S18_1342"/>
    <s v="Melbourne"/>
    <s v="3004"/>
    <x v="3"/>
    <x v="2"/>
    <s v="Ferguson"/>
    <s v="Peter"/>
    <x v="1"/>
    <s v="Ferguson Peter"/>
  </r>
  <r>
    <n v="10139"/>
    <x v="20"/>
    <x v="167"/>
    <s v="July"/>
    <x v="0"/>
    <n v="31"/>
    <n v="100"/>
    <n v="3184.94"/>
    <n v="7"/>
    <x v="3"/>
    <n v="102"/>
    <s v="S18_1342"/>
    <s v="Chatswood"/>
    <s v="2067"/>
    <x v="3"/>
    <x v="2"/>
    <s v="Huxley"/>
    <s v="Adrian"/>
    <x v="1"/>
    <s v="Huxley Adrian"/>
  </r>
  <r>
    <n v="10149"/>
    <x v="82"/>
    <x v="168"/>
    <s v="September"/>
    <x v="0"/>
    <n v="50"/>
    <n v="100"/>
    <n v="5907.5"/>
    <n v="4"/>
    <x v="3"/>
    <n v="102"/>
    <s v="S18_1342"/>
    <s v="Brisbane"/>
    <s v="94217"/>
    <x v="0"/>
    <x v="0"/>
    <s v="Taylor"/>
    <s v="Sue"/>
    <x v="1"/>
    <s v="Taylor Sue"/>
  </r>
  <r>
    <n v="10162"/>
    <x v="4"/>
    <x v="169"/>
    <s v="October"/>
    <x v="0"/>
    <n v="48"/>
    <n v="91.44"/>
    <n v="4389.12"/>
    <n v="2"/>
    <x v="3"/>
    <n v="102"/>
    <s v="S18_1342"/>
    <s v="San Francisco"/>
    <s v="NA"/>
    <x v="0"/>
    <x v="0"/>
    <s v="Brown"/>
    <s v="Julie"/>
    <x v="1"/>
    <s v="Brown Julie"/>
  </r>
  <r>
    <n v="10173"/>
    <x v="86"/>
    <x v="155"/>
    <s v="November"/>
    <x v="0"/>
    <n v="43"/>
    <n v="100"/>
    <n v="5036.16"/>
    <n v="6"/>
    <x v="3"/>
    <n v="102"/>
    <s v="S18_1342"/>
    <s v="Bergamo"/>
    <s v="24100"/>
    <x v="12"/>
    <x v="1"/>
    <s v="Rovelli"/>
    <s v="Giovanni"/>
    <x v="1"/>
    <s v="Rovelli Giovanni"/>
  </r>
  <r>
    <n v="10182"/>
    <x v="39"/>
    <x v="103"/>
    <s v="November"/>
    <x v="0"/>
    <n v="25"/>
    <n v="87.33"/>
    <n v="2183.25"/>
    <n v="3"/>
    <x v="3"/>
    <n v="102"/>
    <s v="S18_1342"/>
    <s v="San Rafael"/>
    <s v="97562"/>
    <x v="0"/>
    <x v="0"/>
    <s v="Nelson"/>
    <s v="Valarie"/>
    <x v="0"/>
    <s v="Nelson Valarie"/>
  </r>
  <r>
    <n v="10193"/>
    <x v="87"/>
    <x v="170"/>
    <s v="November"/>
    <x v="0"/>
    <n v="28"/>
    <n v="100"/>
    <n v="3106.88"/>
    <n v="7"/>
    <x v="3"/>
    <n v="102"/>
    <s v="S18_1342"/>
    <s v="Glen Waverly"/>
    <s v="3150"/>
    <x v="3"/>
    <x v="2"/>
    <s v="Connery"/>
    <s v="Sean"/>
    <x v="1"/>
    <s v="Connery Sean"/>
  </r>
  <r>
    <n v="10205"/>
    <x v="23"/>
    <x v="171"/>
    <s v="December"/>
    <x v="0"/>
    <n v="36"/>
    <n v="100"/>
    <n v="3735.72"/>
    <n v="2"/>
    <x v="3"/>
    <n v="102"/>
    <s v="S18_1342"/>
    <s v="Madrid"/>
    <s v="28034"/>
    <x v="7"/>
    <x v="1"/>
    <s v="Freyre"/>
    <s v="Diego"/>
    <x v="1"/>
    <s v="Freyre Diego"/>
  </r>
  <r>
    <n v="10227"/>
    <x v="30"/>
    <x v="172"/>
    <s v="March"/>
    <x v="0"/>
    <n v="25"/>
    <n v="100"/>
    <n v="2953.75"/>
    <n v="3"/>
    <x v="3"/>
    <n v="102"/>
    <s v="S18_1342"/>
    <s v="Lyon"/>
    <s v="69004"/>
    <x v="1"/>
    <x v="1"/>
    <s v="Saveley"/>
    <s v="Mary"/>
    <x v="0"/>
    <s v="Saveley Mary"/>
  </r>
  <r>
    <n v="10244"/>
    <x v="23"/>
    <x v="173"/>
    <s v="April"/>
    <x v="0"/>
    <n v="40"/>
    <n v="100"/>
    <n v="4684.8"/>
    <n v="7"/>
    <x v="3"/>
    <n v="102"/>
    <s v="S18_1342"/>
    <s v="Madrid"/>
    <s v="28034"/>
    <x v="7"/>
    <x v="1"/>
    <s v="Freyre"/>
    <s v="Diego"/>
    <x v="1"/>
    <s v="Freyre Diego"/>
  </r>
  <r>
    <n v="10256"/>
    <x v="48"/>
    <x v="174"/>
    <s v="June"/>
    <x v="0"/>
    <n v="34"/>
    <n v="95.55"/>
    <n v="3248.7"/>
    <n v="2"/>
    <x v="3"/>
    <n v="102"/>
    <s v="S18_1342"/>
    <s v="Kobenhavn"/>
    <s v="1734"/>
    <x v="13"/>
    <x v="1"/>
    <s v="Petersen"/>
    <s v="Jytte"/>
    <x v="1"/>
    <s v="Petersen Jytte"/>
  </r>
  <r>
    <n v="10289"/>
    <x v="7"/>
    <x v="175"/>
    <s v="September"/>
    <x v="0"/>
    <n v="38"/>
    <n v="100"/>
    <n v="4567.9799999999996"/>
    <n v="2"/>
    <x v="3"/>
    <n v="102"/>
    <s v="S18_1342"/>
    <s v="Bergen"/>
    <s v="N 5804"/>
    <x v="2"/>
    <x v="1"/>
    <s v="Oeztan"/>
    <s v="Veysel"/>
    <x v="1"/>
    <s v="Oeztan Veysel"/>
  </r>
  <r>
    <n v="10332"/>
    <x v="77"/>
    <x v="159"/>
    <s v="November"/>
    <x v="0"/>
    <n v="46"/>
    <n v="95.13"/>
    <n v="4375.9799999999996"/>
    <n v="15"/>
    <x v="3"/>
    <n v="102"/>
    <s v="S18_1342"/>
    <s v="Manchester"/>
    <s v="EC2 5NT"/>
    <x v="6"/>
    <x v="1"/>
    <s v="Ashworth"/>
    <s v="Victoria"/>
    <x v="1"/>
    <s v="Ashworth Victoria"/>
  </r>
  <r>
    <n v="10346"/>
    <x v="84"/>
    <x v="47"/>
    <s v="November"/>
    <x v="0"/>
    <n v="42"/>
    <n v="36.11"/>
    <n v="1516.62"/>
    <n v="3"/>
    <x v="3"/>
    <n v="102"/>
    <s v="S18_1342"/>
    <s v="Las Vegas"/>
    <s v="83030"/>
    <x v="0"/>
    <x v="0"/>
    <s v="King"/>
    <s v="Sue"/>
    <x v="0"/>
    <s v="King Sue"/>
  </r>
  <r>
    <n v="10380"/>
    <x v="23"/>
    <x v="176"/>
    <s v="February"/>
    <x v="0"/>
    <n v="27"/>
    <n v="93.16"/>
    <n v="2515.3200000000002"/>
    <n v="13"/>
    <x v="3"/>
    <n v="102"/>
    <s v="S18_1342"/>
    <s v="Madrid"/>
    <s v="28034"/>
    <x v="7"/>
    <x v="1"/>
    <s v="Freyre"/>
    <s v="Diego"/>
    <x v="0"/>
    <s v="Freyre Diego"/>
  </r>
  <r>
    <n v="10422"/>
    <x v="18"/>
    <x v="177"/>
    <s v="May"/>
    <x v="2"/>
    <n v="51"/>
    <n v="95.55"/>
    <n v="4873.05"/>
    <n v="2"/>
    <x v="3"/>
    <n v="102"/>
    <s v="S18_1342"/>
    <s v="Allentown"/>
    <s v="70267"/>
    <x v="0"/>
    <x v="0"/>
    <s v="Yu"/>
    <s v="Kyung"/>
    <x v="1"/>
    <s v="Yu Kyung"/>
  </r>
  <r>
    <n v="10110"/>
    <x v="77"/>
    <x v="178"/>
    <s v="March"/>
    <x v="0"/>
    <n v="37"/>
    <n v="100"/>
    <n v="5433.08"/>
    <n v="16"/>
    <x v="1"/>
    <n v="124"/>
    <s v="S18_1589"/>
    <s v="Manchester"/>
    <s v="EC2 5NT"/>
    <x v="6"/>
    <x v="1"/>
    <s v="Ashworth"/>
    <s v="Victoria"/>
    <x v="1"/>
    <s v="Ashworth Victoria"/>
  </r>
  <r>
    <n v="10123"/>
    <x v="46"/>
    <x v="179"/>
    <s v="May"/>
    <x v="0"/>
    <n v="26"/>
    <n v="100"/>
    <n v="3073.72"/>
    <n v="2"/>
    <x v="1"/>
    <n v="124"/>
    <s v="S18_1589"/>
    <s v="Nantes"/>
    <s v="44000"/>
    <x v="1"/>
    <x v="1"/>
    <s v="Schmitt"/>
    <s v="Carine"/>
    <x v="1"/>
    <s v="Schmitt Carine"/>
  </r>
  <r>
    <n v="10137"/>
    <x v="1"/>
    <x v="180"/>
    <s v="July"/>
    <x v="0"/>
    <n v="44"/>
    <n v="99.55"/>
    <n v="4380.2"/>
    <n v="2"/>
    <x v="1"/>
    <n v="124"/>
    <s v="S18_1589"/>
    <s v="Reims"/>
    <s v="51100"/>
    <x v="1"/>
    <x v="1"/>
    <s v="Henriot"/>
    <s v="Paul"/>
    <x v="1"/>
    <s v="Henriot Paul"/>
  </r>
  <r>
    <n v="10172"/>
    <x v="13"/>
    <x v="155"/>
    <s v="November"/>
    <x v="0"/>
    <n v="42"/>
    <n v="100"/>
    <n v="4965.24"/>
    <n v="6"/>
    <x v="1"/>
    <n v="124"/>
    <s v="S18_1589"/>
    <s v="Bridgewater"/>
    <s v="97562"/>
    <x v="0"/>
    <x v="0"/>
    <s v="King"/>
    <s v="Julie"/>
    <x v="1"/>
    <s v="King Julie"/>
  </r>
  <r>
    <n v="10226"/>
    <x v="55"/>
    <x v="181"/>
    <s v="February"/>
    <x v="0"/>
    <n v="38"/>
    <n v="100"/>
    <n v="4161.38"/>
    <n v="4"/>
    <x v="1"/>
    <n v="124"/>
    <s v="S18_1589"/>
    <s v="San Diego"/>
    <s v="91217"/>
    <x v="0"/>
    <x v="0"/>
    <s v="Thompson"/>
    <s v="Valarie"/>
    <x v="1"/>
    <s v="Thompson Valarie"/>
  </r>
  <r>
    <n v="10241"/>
    <x v="83"/>
    <x v="156"/>
    <s v="April"/>
    <x v="0"/>
    <n v="21"/>
    <n v="100"/>
    <n v="2508.66"/>
    <n v="11"/>
    <x v="1"/>
    <n v="124"/>
    <s v="S18_1589"/>
    <s v="Strasbourg"/>
    <s v="67000"/>
    <x v="1"/>
    <x v="1"/>
    <s v="Citeaux"/>
    <s v="Frederique"/>
    <x v="0"/>
    <s v="Citeaux Frederique"/>
  </r>
  <r>
    <n v="10288"/>
    <x v="65"/>
    <x v="182"/>
    <s v="September"/>
    <x v="0"/>
    <n v="20"/>
    <n v="100"/>
    <n v="2936.8"/>
    <n v="14"/>
    <x v="1"/>
    <n v="124"/>
    <s v="S18_1589"/>
    <s v="Singapore"/>
    <s v="69045"/>
    <x v="9"/>
    <x v="2"/>
    <s v="Victorino"/>
    <s v="Wendy"/>
    <x v="0"/>
    <s v="Victorino Wendy"/>
  </r>
  <r>
    <n v="10311"/>
    <x v="23"/>
    <x v="113"/>
    <s v="October"/>
    <x v="0"/>
    <n v="29"/>
    <n v="100"/>
    <n v="2923.2"/>
    <n v="9"/>
    <x v="1"/>
    <n v="124"/>
    <s v="S18_1589"/>
    <s v="Madrid"/>
    <s v="28034"/>
    <x v="7"/>
    <x v="1"/>
    <s v="Freyre"/>
    <s v="Diego"/>
    <x v="0"/>
    <s v="Freyre Diego"/>
  </r>
  <r>
    <n v="10343"/>
    <x v="1"/>
    <x v="20"/>
    <s v="November"/>
    <x v="0"/>
    <n v="36"/>
    <n v="100"/>
    <n v="5848.92"/>
    <n v="4"/>
    <x v="1"/>
    <n v="124"/>
    <s v="S18_1589"/>
    <s v="Reims"/>
    <s v="51100"/>
    <x v="1"/>
    <x v="1"/>
    <s v="Henriot"/>
    <s v="Paul"/>
    <x v="1"/>
    <s v="Henriot Paul"/>
  </r>
  <r>
    <n v="10367"/>
    <x v="3"/>
    <x v="183"/>
    <s v="January"/>
    <x v="5"/>
    <n v="49"/>
    <n v="56.3"/>
    <n v="2758.7"/>
    <n v="1"/>
    <x v="1"/>
    <n v="124"/>
    <s v="S18_1589"/>
    <s v="Pasadena"/>
    <s v="90003"/>
    <x v="0"/>
    <x v="0"/>
    <s v="Young"/>
    <s v="Julie"/>
    <x v="0"/>
    <s v="Young Julie"/>
  </r>
  <r>
    <n v="10378"/>
    <x v="23"/>
    <x v="184"/>
    <s v="February"/>
    <x v="0"/>
    <n v="34"/>
    <n v="42.64"/>
    <n v="1449.76"/>
    <n v="5"/>
    <x v="1"/>
    <n v="124"/>
    <s v="S18_1589"/>
    <s v="Madrid"/>
    <s v="28034"/>
    <x v="7"/>
    <x v="1"/>
    <s v="Freyre"/>
    <s v="Diego"/>
    <x v="0"/>
    <s v="Freyre Diego"/>
  </r>
  <r>
    <n v="10407"/>
    <x v="61"/>
    <x v="185"/>
    <s v="April"/>
    <x v="4"/>
    <n v="59"/>
    <n v="100"/>
    <n v="7048.14"/>
    <n v="11"/>
    <x v="1"/>
    <n v="124"/>
    <s v="S18_1589"/>
    <s v="San Jose"/>
    <s v="94217"/>
    <x v="0"/>
    <x v="0"/>
    <s v="Frick"/>
    <s v="Sue"/>
    <x v="2"/>
    <s v="Frick Sue"/>
  </r>
  <r>
    <n v="10106"/>
    <x v="86"/>
    <x v="186"/>
    <s v="February"/>
    <x v="0"/>
    <n v="36"/>
    <n v="100"/>
    <n v="5279.4"/>
    <n v="12"/>
    <x v="4"/>
    <n v="157"/>
    <s v="S18_1662"/>
    <s v="Bergamo"/>
    <s v="24100"/>
    <x v="12"/>
    <x v="1"/>
    <s v="Rovelli"/>
    <s v="Giovanni"/>
    <x v="1"/>
    <s v="Rovelli Giovanni"/>
  </r>
  <r>
    <n v="10131"/>
    <x v="88"/>
    <x v="187"/>
    <s v="June"/>
    <x v="0"/>
    <n v="21"/>
    <n v="100"/>
    <n v="2781.66"/>
    <n v="4"/>
    <x v="4"/>
    <n v="157"/>
    <s v="S18_1662"/>
    <s v="Glendale"/>
    <s v="97561"/>
    <x v="0"/>
    <x v="0"/>
    <s v="Lewis"/>
    <s v="Dan"/>
    <x v="0"/>
    <s v="Lewis Dan"/>
  </r>
  <r>
    <n v="10198"/>
    <x v="66"/>
    <x v="188"/>
    <s v="November"/>
    <x v="0"/>
    <n v="42"/>
    <n v="100"/>
    <n v="7483.98"/>
    <n v="4"/>
    <x v="4"/>
    <n v="157"/>
    <s v="S18_1662"/>
    <s v="Makati City"/>
    <s v="1227 MM"/>
    <x v="15"/>
    <x v="3"/>
    <s v="Cruz"/>
    <s v="Arnold"/>
    <x v="2"/>
    <s v="Cruz Arnold"/>
  </r>
  <r>
    <n v="10250"/>
    <x v="61"/>
    <x v="189"/>
    <s v="May"/>
    <x v="0"/>
    <n v="45"/>
    <n v="100"/>
    <n v="8160.3"/>
    <n v="14"/>
    <x v="4"/>
    <n v="157"/>
    <s v="S18_1662"/>
    <s v="San Jose"/>
    <s v="94217"/>
    <x v="0"/>
    <x v="0"/>
    <s v="Frick"/>
    <s v="Sue"/>
    <x v="2"/>
    <s v="Frick Sue"/>
  </r>
  <r>
    <n v="10262"/>
    <x v="23"/>
    <x v="190"/>
    <s v="June"/>
    <x v="3"/>
    <n v="49"/>
    <n v="100"/>
    <n v="6567.96"/>
    <n v="9"/>
    <x v="4"/>
    <n v="157"/>
    <s v="S18_1662"/>
    <s v="Madrid"/>
    <s v="28034"/>
    <x v="7"/>
    <x v="1"/>
    <s v="Freyre"/>
    <s v="Diego"/>
    <x v="1"/>
    <s v="Freyre Diego"/>
  </r>
  <r>
    <n v="10274"/>
    <x v="41"/>
    <x v="75"/>
    <s v="July"/>
    <x v="0"/>
    <n v="41"/>
    <n v="100"/>
    <n v="6724"/>
    <n v="1"/>
    <x v="4"/>
    <n v="157"/>
    <s v="S18_1662"/>
    <s v="Brickhaven"/>
    <s v="58339"/>
    <x v="0"/>
    <x v="0"/>
    <s v="Nelson"/>
    <s v="Allen"/>
    <x v="1"/>
    <s v="Nelson Allen"/>
  </r>
  <r>
    <n v="10284"/>
    <x v="85"/>
    <x v="191"/>
    <s v="August"/>
    <x v="0"/>
    <n v="45"/>
    <n v="100"/>
    <n v="5747.85"/>
    <n v="11"/>
    <x v="4"/>
    <n v="157"/>
    <s v="S18_1662"/>
    <s v="Oslo"/>
    <s v="N 0106"/>
    <x v="2"/>
    <x v="1"/>
    <s v="Klaeboe"/>
    <s v="Jan"/>
    <x v="1"/>
    <s v="Klaeboe Jan"/>
  </r>
  <r>
    <n v="10296"/>
    <x v="89"/>
    <x v="192"/>
    <s v="September"/>
    <x v="0"/>
    <n v="36"/>
    <n v="100"/>
    <n v="5676.84"/>
    <n v="7"/>
    <x v="4"/>
    <n v="157"/>
    <s v="S18_1662"/>
    <s v="Munich"/>
    <s v="80686"/>
    <x v="16"/>
    <x v="1"/>
    <s v="Donnermeyer"/>
    <s v="Michael"/>
    <x v="1"/>
    <s v="Donnermeyer Michael"/>
  </r>
  <r>
    <n v="10327"/>
    <x v="48"/>
    <x v="193"/>
    <s v="November"/>
    <x v="5"/>
    <n v="25"/>
    <n v="100"/>
    <n v="2804.75"/>
    <n v="6"/>
    <x v="4"/>
    <n v="157"/>
    <s v="S18_1662"/>
    <s v="Kobenhavn"/>
    <s v="1734"/>
    <x v="13"/>
    <x v="1"/>
    <s v="Petersen"/>
    <s v="Jytte"/>
    <x v="0"/>
    <s v="Petersen Jytte"/>
  </r>
  <r>
    <n v="10338"/>
    <x v="90"/>
    <x v="194"/>
    <s v="November"/>
    <x v="0"/>
    <n v="41"/>
    <n v="100"/>
    <n v="5624.79"/>
    <n v="1"/>
    <x v="4"/>
    <n v="157"/>
    <s v="S18_1662"/>
    <s v="Charleroi"/>
    <s v="B-6000"/>
    <x v="14"/>
    <x v="1"/>
    <s v="Cartrain"/>
    <s v="Pascale"/>
    <x v="1"/>
    <s v="Cartrain Pascale"/>
  </r>
  <r>
    <n v="10351"/>
    <x v="49"/>
    <x v="195"/>
    <s v="December"/>
    <x v="0"/>
    <n v="39"/>
    <n v="99.52"/>
    <n v="3881.28"/>
    <n v="1"/>
    <x v="4"/>
    <n v="157"/>
    <s v="S18_1662"/>
    <s v="London"/>
    <s v="WX3 6FW"/>
    <x v="6"/>
    <x v="1"/>
    <s v="Brown"/>
    <s v="Ann"/>
    <x v="1"/>
    <s v="Brown Ann"/>
  </r>
  <r>
    <n v="10386"/>
    <x v="23"/>
    <x v="196"/>
    <s v="March"/>
    <x v="5"/>
    <n v="25"/>
    <n v="54.57"/>
    <n v="1364.25"/>
    <n v="7"/>
    <x v="4"/>
    <n v="157"/>
    <s v="S18_1662"/>
    <s v="Madrid"/>
    <s v="28034"/>
    <x v="7"/>
    <x v="1"/>
    <s v="Freyre"/>
    <s v="Diego"/>
    <x v="0"/>
    <s v="Freyre Diego"/>
  </r>
  <r>
    <n v="10398"/>
    <x v="1"/>
    <x v="197"/>
    <s v="March"/>
    <x v="0"/>
    <n v="33"/>
    <n v="100"/>
    <n v="4215.09"/>
    <n v="11"/>
    <x v="4"/>
    <n v="157"/>
    <s v="S18_1662"/>
    <s v="Reims"/>
    <s v="51100"/>
    <x v="1"/>
    <x v="1"/>
    <s v="Henriot"/>
    <s v="Paul"/>
    <x v="1"/>
    <s v="Henriot Paul"/>
  </r>
  <r>
    <n v="10416"/>
    <x v="70"/>
    <x v="198"/>
    <s v="May"/>
    <x v="0"/>
    <n v="24"/>
    <n v="100"/>
    <n v="4352.16"/>
    <n v="14"/>
    <x v="4"/>
    <n v="157"/>
    <s v="S18_1662"/>
    <s v="Reggio Emilia"/>
    <s v="42100"/>
    <x v="12"/>
    <x v="1"/>
    <s v="Moroni"/>
    <s v="Maurizio"/>
    <x v="1"/>
    <s v="Moroni Maurizio"/>
  </r>
  <r>
    <n v="10100"/>
    <x v="40"/>
    <x v="199"/>
    <s v="January"/>
    <x v="0"/>
    <n v="30"/>
    <n v="100"/>
    <n v="5151"/>
    <n v="3"/>
    <x v="3"/>
    <n v="170"/>
    <s v="S18_1749"/>
    <s v="Nashua"/>
    <s v="62005"/>
    <x v="0"/>
    <x v="0"/>
    <s v="Young"/>
    <s v="Valarie"/>
    <x v="1"/>
    <s v="Young Valarie"/>
  </r>
  <r>
    <n v="10124"/>
    <x v="84"/>
    <x v="166"/>
    <s v="May"/>
    <x v="0"/>
    <n v="21"/>
    <n v="100"/>
    <n v="2856"/>
    <n v="6"/>
    <x v="3"/>
    <n v="170"/>
    <s v="S18_1749"/>
    <s v="Las Vegas"/>
    <s v="83030"/>
    <x v="0"/>
    <x v="0"/>
    <s v="King"/>
    <s v="Sue"/>
    <x v="0"/>
    <s v="King Sue"/>
  </r>
  <r>
    <n v="10214"/>
    <x v="25"/>
    <x v="200"/>
    <s v="January"/>
    <x v="0"/>
    <n v="30"/>
    <n v="100"/>
    <n v="5967"/>
    <n v="7"/>
    <x v="3"/>
    <n v="170"/>
    <s v="S18_1749"/>
    <s v="Madrid"/>
    <s v="28023"/>
    <x v="7"/>
    <x v="1"/>
    <s v="Sommer"/>
    <s v="Mart¡n"/>
    <x v="1"/>
    <s v="Sommer Mart¡n"/>
  </r>
  <r>
    <n v="10302"/>
    <x v="22"/>
    <x v="66"/>
    <s v="October"/>
    <x v="0"/>
    <n v="43"/>
    <n v="100"/>
    <n v="7310"/>
    <n v="1"/>
    <x v="3"/>
    <n v="170"/>
    <s v="S18_1749"/>
    <s v="Liverpool"/>
    <s v="WX1 6LT"/>
    <x v="6"/>
    <x v="1"/>
    <s v="Devon"/>
    <s v="Elizabeth"/>
    <x v="2"/>
    <s v="Devon Elizabeth"/>
  </r>
  <r>
    <n v="10344"/>
    <x v="67"/>
    <x v="201"/>
    <s v="November"/>
    <x v="0"/>
    <n v="45"/>
    <n v="100"/>
    <n v="7650"/>
    <n v="1"/>
    <x v="3"/>
    <n v="170"/>
    <s v="S18_1749"/>
    <s v="Marseille"/>
    <s v="13008"/>
    <x v="1"/>
    <x v="1"/>
    <s v="Lebihan"/>
    <s v="Laurence"/>
    <x v="2"/>
    <s v="Lebihan Laurence"/>
  </r>
  <r>
    <n v="10379"/>
    <x v="23"/>
    <x v="184"/>
    <s v="February"/>
    <x v="0"/>
    <n v="39"/>
    <n v="100"/>
    <n v="5399.55"/>
    <n v="2"/>
    <x v="3"/>
    <n v="170"/>
    <s v="S18_1749"/>
    <s v="Madrid"/>
    <s v="28034"/>
    <x v="7"/>
    <x v="1"/>
    <s v="Freyre"/>
    <s v="Diego"/>
    <x v="1"/>
    <s v="Freyre Diego"/>
  </r>
  <r>
    <n v="10420"/>
    <x v="20"/>
    <x v="202"/>
    <s v="May"/>
    <x v="2"/>
    <n v="37"/>
    <n v="100"/>
    <n v="5283.6"/>
    <n v="5"/>
    <x v="3"/>
    <n v="170"/>
    <s v="S18_1749"/>
    <s v="Chatswood"/>
    <s v="2067"/>
    <x v="3"/>
    <x v="2"/>
    <s v="Huxley"/>
    <s v="Adrian"/>
    <x v="1"/>
    <s v="Huxley Adrian"/>
  </r>
  <r>
    <n v="10366"/>
    <x v="90"/>
    <x v="203"/>
    <s v="January"/>
    <x v="0"/>
    <n v="34"/>
    <n v="100"/>
    <n v="4207.84"/>
    <n v="3"/>
    <x v="1"/>
    <n v="142"/>
    <s v="S18_1984"/>
    <s v="Charleroi"/>
    <s v="B-6000"/>
    <x v="14"/>
    <x v="1"/>
    <s v="Cartrain"/>
    <s v="Pascale"/>
    <x v="1"/>
    <s v="Cartrain Pascale"/>
  </r>
  <r>
    <n v="10303"/>
    <x v="81"/>
    <x v="204"/>
    <s v="October"/>
    <x v="0"/>
    <n v="46"/>
    <n v="49.04"/>
    <n v="2255.84"/>
    <n v="2"/>
    <x v="3"/>
    <n v="60"/>
    <s v="S18_2248"/>
    <s v="Sevilla"/>
    <s v="41101"/>
    <x v="7"/>
    <x v="1"/>
    <s v="Roel"/>
    <s v="Jose Pedro"/>
    <x v="0"/>
    <s v="Roel Jose Pedro"/>
  </r>
  <r>
    <n v="10383"/>
    <x v="23"/>
    <x v="205"/>
    <s v="February"/>
    <x v="0"/>
    <n v="27"/>
    <n v="100"/>
    <n v="3843.99"/>
    <n v="11"/>
    <x v="2"/>
    <n v="122"/>
    <s v="S18_2319"/>
    <s v="Madrid"/>
    <s v="28034"/>
    <x v="7"/>
    <x v="1"/>
    <s v="Freyre"/>
    <s v="Diego"/>
    <x v="1"/>
    <s v="Freyre Diego"/>
  </r>
  <r>
    <n v="10101"/>
    <x v="72"/>
    <x v="206"/>
    <s v="January"/>
    <x v="0"/>
    <n v="25"/>
    <n v="100"/>
    <n v="3782"/>
    <n v="4"/>
    <x v="3"/>
    <n v="127"/>
    <s v="S18_2325"/>
    <s v="Frankfurt"/>
    <s v="60528"/>
    <x v="16"/>
    <x v="1"/>
    <s v="Keitel"/>
    <s v="Roland"/>
    <x v="1"/>
    <s v="Keitel Roland"/>
  </r>
  <r>
    <n v="10243"/>
    <x v="64"/>
    <x v="207"/>
    <s v="April"/>
    <x v="0"/>
    <n v="47"/>
    <n v="100"/>
    <n v="6154.18"/>
    <n v="2"/>
    <x v="3"/>
    <n v="127"/>
    <s v="S18_2325"/>
    <s v="Boston"/>
    <s v="51003"/>
    <x v="0"/>
    <x v="0"/>
    <s v="Franco"/>
    <s v="Valarie"/>
    <x v="1"/>
    <s v="Franco Valarie"/>
  </r>
  <r>
    <n v="10409"/>
    <x v="65"/>
    <x v="208"/>
    <s v="April"/>
    <x v="0"/>
    <n v="6"/>
    <n v="100"/>
    <n v="785.64"/>
    <n v="2"/>
    <x v="3"/>
    <n v="127"/>
    <s v="S18_2325"/>
    <s v="Singapore"/>
    <s v="69045"/>
    <x v="9"/>
    <x v="2"/>
    <s v="Victorino"/>
    <s v="Wendy"/>
    <x v="0"/>
    <s v="Victorino Wendy"/>
  </r>
  <r>
    <n v="10133"/>
    <x v="23"/>
    <x v="209"/>
    <s v="June"/>
    <x v="0"/>
    <n v="49"/>
    <n v="69.27"/>
    <n v="3394.23"/>
    <n v="3"/>
    <x v="4"/>
    <n v="84"/>
    <s v="S18_2581"/>
    <s v="Madrid"/>
    <s v="28034"/>
    <x v="7"/>
    <x v="1"/>
    <s v="Freyre"/>
    <s v="Diego"/>
    <x v="1"/>
    <s v="Freyre Diego"/>
  </r>
  <r>
    <n v="10235"/>
    <x v="57"/>
    <x v="210"/>
    <s v="April"/>
    <x v="0"/>
    <n v="24"/>
    <n v="76.03"/>
    <n v="1824.72"/>
    <n v="3"/>
    <x v="4"/>
    <n v="84"/>
    <s v="S18_2581"/>
    <s v="Tsawassen"/>
    <s v="T2F 8M4"/>
    <x v="10"/>
    <x v="0"/>
    <s v="Lincoln"/>
    <s v="Elizabeth"/>
    <x v="0"/>
    <s v="Lincoln Elizabeth"/>
  </r>
  <r>
    <n v="10297"/>
    <x v="75"/>
    <x v="211"/>
    <s v="September"/>
    <x v="0"/>
    <n v="25"/>
    <n v="82.79"/>
    <n v="2069.75"/>
    <n v="4"/>
    <x v="4"/>
    <n v="84"/>
    <s v="S18_2581"/>
    <s v="Dublin"/>
    <s v="2"/>
    <x v="18"/>
    <x v="1"/>
    <s v="Cassidy"/>
    <s v="Dean"/>
    <x v="0"/>
    <s v="Cassidy Dean"/>
  </r>
  <r>
    <n v="10353"/>
    <x v="88"/>
    <x v="212"/>
    <s v="December"/>
    <x v="0"/>
    <n v="27"/>
    <n v="100"/>
    <n v="3515.67"/>
    <n v="1"/>
    <x v="4"/>
    <n v="84"/>
    <s v="S18_2581"/>
    <s v="Glendale"/>
    <s v="97561"/>
    <x v="0"/>
    <x v="0"/>
    <s v="Lewis"/>
    <s v="Dan"/>
    <x v="1"/>
    <s v="Lewis Dan"/>
  </r>
  <r>
    <n v="10401"/>
    <x v="12"/>
    <x v="213"/>
    <s v="April"/>
    <x v="4"/>
    <n v="42"/>
    <n v="76.03"/>
    <n v="3193.26"/>
    <n v="3"/>
    <x v="4"/>
    <n v="84"/>
    <s v="S18_2581"/>
    <s v="Newark"/>
    <s v="94019"/>
    <x v="0"/>
    <x v="0"/>
    <s v="Brown"/>
    <s v="William"/>
    <x v="1"/>
    <s v="Brown William"/>
  </r>
  <r>
    <n v="10255"/>
    <x v="83"/>
    <x v="214"/>
    <s v="June"/>
    <x v="0"/>
    <n v="24"/>
    <n v="100"/>
    <n v="3726"/>
    <n v="1"/>
    <x v="3"/>
    <n v="168"/>
    <s v="S18_2795"/>
    <s v="Strasbourg"/>
    <s v="67000"/>
    <x v="1"/>
    <x v="1"/>
    <s v="Citeaux"/>
    <s v="Frederique"/>
    <x v="1"/>
    <s v="Citeaux Frederique"/>
  </r>
  <r>
    <n v="10421"/>
    <x v="39"/>
    <x v="202"/>
    <s v="May"/>
    <x v="2"/>
    <n v="35"/>
    <n v="100"/>
    <n v="5433.75"/>
    <n v="1"/>
    <x v="3"/>
    <n v="168"/>
    <s v="S18_2795"/>
    <s v="San Rafael"/>
    <s v="97562"/>
    <x v="0"/>
    <x v="0"/>
    <s v="Nelson"/>
    <s v="Valarie"/>
    <x v="1"/>
    <s v="Nelson Valarie"/>
  </r>
  <r>
    <n v="10257"/>
    <x v="61"/>
    <x v="215"/>
    <s v="June"/>
    <x v="0"/>
    <n v="50"/>
    <n v="88.14"/>
    <n v="4407"/>
    <n v="1"/>
    <x v="3"/>
    <n v="101"/>
    <s v="S18_2949"/>
    <s v="San Jose"/>
    <s v="94217"/>
    <x v="0"/>
    <x v="0"/>
    <s v="Frick"/>
    <s v="Sue"/>
    <x v="1"/>
    <s v="Frick Sue"/>
  </r>
  <r>
    <n v="10423"/>
    <x v="56"/>
    <x v="177"/>
    <s v="May"/>
    <x v="2"/>
    <n v="10"/>
    <n v="88.14"/>
    <n v="881.4"/>
    <n v="1"/>
    <x v="3"/>
    <n v="101"/>
    <s v="S18_2949"/>
    <s v="Bruxelles"/>
    <s v="B-1180"/>
    <x v="14"/>
    <x v="1"/>
    <s v="Dewey"/>
    <s v="Catherine"/>
    <x v="0"/>
    <s v="Dewey Catherine"/>
  </r>
  <r>
    <n v="10269"/>
    <x v="19"/>
    <x v="216"/>
    <s v="July"/>
    <x v="0"/>
    <n v="32"/>
    <n v="63.08"/>
    <n v="2018.56"/>
    <n v="1"/>
    <x v="3"/>
    <n v="62"/>
    <s v="S18_2957"/>
    <s v="Salzburg"/>
    <s v="5020"/>
    <x v="5"/>
    <x v="1"/>
    <s v="Pipps"/>
    <s v="Georg"/>
    <x v="0"/>
    <s v="Pipps Georg"/>
  </r>
  <r>
    <n v="10392"/>
    <x v="63"/>
    <x v="217"/>
    <s v="March"/>
    <x v="0"/>
    <n v="37"/>
    <n v="59.96"/>
    <n v="2218.52"/>
    <n v="3"/>
    <x v="3"/>
    <n v="62"/>
    <s v="S18_2957"/>
    <s v="Graz"/>
    <s v="8010"/>
    <x v="5"/>
    <x v="1"/>
    <s v="Mendel"/>
    <s v="Roland"/>
    <x v="0"/>
    <s v="Mendel Roland"/>
  </r>
  <r>
    <n v="10130"/>
    <x v="91"/>
    <x v="187"/>
    <s v="June"/>
    <x v="0"/>
    <n v="40"/>
    <n v="96.34"/>
    <n v="3853.6"/>
    <n v="2"/>
    <x v="5"/>
    <n v="86"/>
    <s v="S18_3029"/>
    <s v="Brickhaven"/>
    <s v="58339"/>
    <x v="0"/>
    <x v="0"/>
    <s v="Taylor"/>
    <s v="Leslie"/>
    <x v="1"/>
    <s v="Taylor Leslie"/>
  </r>
  <r>
    <n v="10128"/>
    <x v="23"/>
    <x v="218"/>
    <s v="June"/>
    <x v="0"/>
    <n v="41"/>
    <n v="100"/>
    <n v="5544.02"/>
    <n v="2"/>
    <x v="3"/>
    <n v="136"/>
    <s v="S18_3140"/>
    <s v="Madrid"/>
    <s v="28034"/>
    <x v="7"/>
    <x v="1"/>
    <s v="Freyre"/>
    <s v="Diego"/>
    <x v="1"/>
    <s v="Freyre Diego"/>
  </r>
  <r>
    <n v="10166"/>
    <x v="21"/>
    <x v="90"/>
    <s v="October"/>
    <x v="0"/>
    <n v="43"/>
    <n v="100"/>
    <n v="6930.74"/>
    <n v="2"/>
    <x v="3"/>
    <n v="136"/>
    <s v="S18_3140"/>
    <s v="New Bedford"/>
    <s v="50553"/>
    <x v="0"/>
    <x v="0"/>
    <s v="Benitez"/>
    <s v="Violeta"/>
    <x v="1"/>
    <s v="Benitez Violeta"/>
  </r>
  <r>
    <n v="10177"/>
    <x v="76"/>
    <x v="219"/>
    <s v="November"/>
    <x v="0"/>
    <n v="23"/>
    <n v="100"/>
    <n v="3675.63"/>
    <n v="9"/>
    <x v="3"/>
    <n v="136"/>
    <s v="S18_3140"/>
    <s v="Madrid"/>
    <s v="28023"/>
    <x v="7"/>
    <x v="1"/>
    <s v="Fernandez"/>
    <s v="Jesus"/>
    <x v="1"/>
    <s v="Fernandez Jesus"/>
  </r>
  <r>
    <n v="10221"/>
    <x v="56"/>
    <x v="220"/>
    <s v="February"/>
    <x v="0"/>
    <n v="33"/>
    <n v="100"/>
    <n v="4417.38"/>
    <n v="3"/>
    <x v="3"/>
    <n v="136"/>
    <s v="S18_3140"/>
    <s v="Bruxelles"/>
    <s v="B-1180"/>
    <x v="14"/>
    <x v="1"/>
    <s v="Dewey"/>
    <s v="Catherine"/>
    <x v="1"/>
    <s v="Dewey Catherine"/>
  </r>
  <r>
    <n v="10232"/>
    <x v="59"/>
    <x v="221"/>
    <s v="March"/>
    <x v="0"/>
    <n v="22"/>
    <n v="100"/>
    <n v="3606.02"/>
    <n v="6"/>
    <x v="3"/>
    <n v="136"/>
    <s v="S18_3140"/>
    <s v="Cowes"/>
    <s v="PO31 7PJ"/>
    <x v="6"/>
    <x v="1"/>
    <s v="Bennett"/>
    <s v="Helen"/>
    <x v="1"/>
    <s v="Bennett Helen"/>
  </r>
  <r>
    <n v="10394"/>
    <x v="23"/>
    <x v="222"/>
    <s v="March"/>
    <x v="0"/>
    <n v="22"/>
    <n v="100"/>
    <n v="3353.02"/>
    <n v="5"/>
    <x v="1"/>
    <n v="169"/>
    <s v="S18_3232"/>
    <s v="Madrid"/>
    <s v="28034"/>
    <x v="7"/>
    <x v="1"/>
    <s v="Freyre"/>
    <s v="Diego"/>
    <x v="1"/>
    <s v="Freyre Diego"/>
  </r>
  <r>
    <n v="10326"/>
    <x v="24"/>
    <x v="223"/>
    <s v="November"/>
    <x v="0"/>
    <n v="32"/>
    <n v="100"/>
    <n v="3807.68"/>
    <n v="6"/>
    <x v="6"/>
    <n v="100"/>
    <s v="S18_3259"/>
    <s v="Lule"/>
    <s v="S-958 22"/>
    <x v="8"/>
    <x v="1"/>
    <s v="Berglund"/>
    <s v="Christina"/>
    <x v="1"/>
    <s v="Berglund Christina"/>
  </r>
  <r>
    <n v="10252"/>
    <x v="9"/>
    <x v="224"/>
    <s v="May"/>
    <x v="0"/>
    <n v="20"/>
    <n v="76.39"/>
    <n v="1527.8"/>
    <n v="2"/>
    <x v="1"/>
    <n v="80"/>
    <s v="S18_3278"/>
    <s v="Paris"/>
    <s v="75016"/>
    <x v="1"/>
    <x v="1"/>
    <s v="Perrier"/>
    <s v="Dominique"/>
    <x v="0"/>
    <s v="Perrier Dominique"/>
  </r>
  <r>
    <n v="10265"/>
    <x v="87"/>
    <x v="225"/>
    <s v="July"/>
    <x v="0"/>
    <n v="45"/>
    <n v="86.84"/>
    <n v="3907.8"/>
    <n v="2"/>
    <x v="1"/>
    <n v="80"/>
    <s v="S18_3278"/>
    <s v="Glen Waverly"/>
    <s v="3150"/>
    <x v="3"/>
    <x v="2"/>
    <s v="Connery"/>
    <s v="Sean"/>
    <x v="1"/>
    <s v="Connery Sean"/>
  </r>
  <r>
    <n v="10290"/>
    <x v="91"/>
    <x v="226"/>
    <s v="September"/>
    <x v="0"/>
    <n v="26"/>
    <n v="96.23"/>
    <n v="2501.98"/>
    <n v="2"/>
    <x v="3"/>
    <n v="99"/>
    <s v="S18_3320"/>
    <s v="Brickhaven"/>
    <s v="58339"/>
    <x v="0"/>
    <x v="0"/>
    <s v="Taylor"/>
    <s v="Leslie"/>
    <x v="0"/>
    <s v="Taylor Leslie"/>
  </r>
  <r>
    <n v="10323"/>
    <x v="72"/>
    <x v="80"/>
    <s v="November"/>
    <x v="0"/>
    <n v="33"/>
    <n v="91.27"/>
    <n v="3011.91"/>
    <n v="2"/>
    <x v="3"/>
    <n v="99"/>
    <s v="S18_3320"/>
    <s v="Frankfurt"/>
    <s v="60528"/>
    <x v="16"/>
    <x v="1"/>
    <s v="Keitel"/>
    <s v="Roland"/>
    <x v="1"/>
    <s v="Keitel Roland"/>
  </r>
  <r>
    <n v="10330"/>
    <x v="66"/>
    <x v="227"/>
    <s v="November"/>
    <x v="0"/>
    <n v="37"/>
    <n v="100"/>
    <n v="4405.22"/>
    <n v="3"/>
    <x v="1"/>
    <n v="146"/>
    <s v="S18_3482"/>
    <s v="Makati City"/>
    <s v="1227 MM"/>
    <x v="15"/>
    <x v="3"/>
    <s v="Cruz"/>
    <s v="Arnold"/>
    <x v="1"/>
    <s v="Cruz Arnold"/>
  </r>
  <r>
    <n v="10355"/>
    <x v="23"/>
    <x v="228"/>
    <s v="December"/>
    <x v="0"/>
    <n v="23"/>
    <n v="100"/>
    <n v="3177.91"/>
    <n v="7"/>
    <x v="1"/>
    <n v="146"/>
    <s v="S18_3482"/>
    <s v="Madrid"/>
    <s v="28034"/>
    <x v="7"/>
    <x v="1"/>
    <s v="Freyre"/>
    <s v="Diego"/>
    <x v="1"/>
    <s v="Freyre Diego"/>
  </r>
  <r>
    <n v="10146"/>
    <x v="88"/>
    <x v="229"/>
    <s v="September"/>
    <x v="0"/>
    <n v="47"/>
    <n v="67.14"/>
    <n v="3155.58"/>
    <n v="2"/>
    <x v="0"/>
    <n v="62"/>
    <s v="S18_3782"/>
    <s v="Glendale"/>
    <s v="97561"/>
    <x v="0"/>
    <x v="0"/>
    <s v="Lewis"/>
    <s v="Dan"/>
    <x v="1"/>
    <s v="Lewis Dan"/>
  </r>
  <r>
    <n v="10264"/>
    <x v="58"/>
    <x v="230"/>
    <s v="June"/>
    <x v="0"/>
    <n v="48"/>
    <n v="54.71"/>
    <n v="2626.08"/>
    <n v="3"/>
    <x v="0"/>
    <n v="62"/>
    <s v="S18_3782"/>
    <s v="Boston"/>
    <s v="51003"/>
    <x v="0"/>
    <x v="0"/>
    <s v="Yoshido"/>
    <s v="Juri"/>
    <x v="0"/>
    <s v="Yoshido Juri"/>
  </r>
  <r>
    <n v="10286"/>
    <x v="62"/>
    <x v="231"/>
    <s v="August"/>
    <x v="0"/>
    <n v="38"/>
    <n v="57.2"/>
    <n v="2173.6"/>
    <n v="1"/>
    <x v="0"/>
    <n v="62"/>
    <s v="S18_3782"/>
    <s v="Paris"/>
    <s v="75012"/>
    <x v="1"/>
    <x v="1"/>
    <s v="Bertrand"/>
    <s v="Marie"/>
    <x v="0"/>
    <s v="Bertrand Marie"/>
  </r>
  <r>
    <n v="10249"/>
    <x v="33"/>
    <x v="232"/>
    <s v="May"/>
    <x v="0"/>
    <n v="46"/>
    <n v="100"/>
    <n v="5600.5"/>
    <n v="5"/>
    <x v="3"/>
    <n v="105"/>
    <s v="S18_3856"/>
    <s v="Cambridge"/>
    <s v="51247"/>
    <x v="0"/>
    <x v="0"/>
    <s v="Tseng"/>
    <s v="Kyung"/>
    <x v="1"/>
    <s v="Tseng Kyung"/>
  </r>
  <r>
    <n v="10328"/>
    <x v="86"/>
    <x v="233"/>
    <s v="November"/>
    <x v="0"/>
    <n v="34"/>
    <n v="100"/>
    <n v="3815.48"/>
    <n v="6"/>
    <x v="3"/>
    <n v="105"/>
    <s v="S18_3856"/>
    <s v="Bergamo"/>
    <s v="24100"/>
    <x v="12"/>
    <x v="1"/>
    <s v="Rovelli"/>
    <s v="Giovanni"/>
    <x v="1"/>
    <s v="Rovelli Giovanni"/>
  </r>
  <r>
    <n v="10415"/>
    <x v="87"/>
    <x v="234"/>
    <s v="May"/>
    <x v="1"/>
    <n v="51"/>
    <n v="100"/>
    <n v="6209.25"/>
    <n v="5"/>
    <x v="3"/>
    <n v="105"/>
    <s v="S18_3856"/>
    <s v="Glen Waverly"/>
    <s v="3150"/>
    <x v="3"/>
    <x v="2"/>
    <s v="Connery"/>
    <s v="Sean"/>
    <x v="1"/>
    <s v="Connery Sean"/>
  </r>
  <r>
    <n v="10152"/>
    <x v="28"/>
    <x v="235"/>
    <s v="September"/>
    <x v="0"/>
    <n v="35"/>
    <n v="100"/>
    <n v="4524.1000000000004"/>
    <n v="1"/>
    <x v="1"/>
    <n v="143"/>
    <s v="S18_4027"/>
    <s v="South Brisbane"/>
    <s v="4101"/>
    <x v="3"/>
    <x v="2"/>
    <s v="Calaghan"/>
    <s v="Tony"/>
    <x v="1"/>
    <s v="Calaghan Tony"/>
  </r>
  <r>
    <n v="10213"/>
    <x v="52"/>
    <x v="236"/>
    <s v="January"/>
    <x v="0"/>
    <n v="38"/>
    <n v="94.79"/>
    <n v="3602.02"/>
    <n v="1"/>
    <x v="3"/>
    <n v="92"/>
    <s v="S18_4409"/>
    <s v="London"/>
    <s v="WA1 1DP"/>
    <x v="6"/>
    <x v="1"/>
    <s v="Hardy"/>
    <s v="Thomas"/>
    <x v="1"/>
    <s v="Hardy Thomas"/>
  </r>
  <r>
    <n v="10315"/>
    <x v="14"/>
    <x v="237"/>
    <s v="October"/>
    <x v="0"/>
    <n v="36"/>
    <n v="100"/>
    <n v="3602.16"/>
    <n v="7"/>
    <x v="3"/>
    <n v="87"/>
    <s v="S18_4522"/>
    <s v="Nantes"/>
    <s v="44000"/>
    <x v="1"/>
    <x v="1"/>
    <s v="Labrune"/>
    <s v="Janine"/>
    <x v="1"/>
    <s v="Labrune Janine"/>
  </r>
  <r>
    <n v="10267"/>
    <x v="74"/>
    <x v="238"/>
    <s v="July"/>
    <x v="0"/>
    <n v="36"/>
    <n v="75.55"/>
    <n v="2719.8"/>
    <n v="1"/>
    <x v="1"/>
    <n v="71"/>
    <s v="S18_4933"/>
    <s v="NYC"/>
    <s v="10022"/>
    <x v="0"/>
    <x v="0"/>
    <s v="Young"/>
    <s v="Jeff"/>
    <x v="0"/>
    <s v="Young Jeff"/>
  </r>
  <r>
    <n v="10279"/>
    <x v="23"/>
    <x v="239"/>
    <s v="August"/>
    <x v="0"/>
    <n v="26"/>
    <n v="60.58"/>
    <n v="1575.08"/>
    <n v="1"/>
    <x v="1"/>
    <n v="71"/>
    <s v="S18_4933"/>
    <s v="Madrid"/>
    <s v="28034"/>
    <x v="7"/>
    <x v="1"/>
    <s v="Freyre"/>
    <s v="Diego"/>
    <x v="0"/>
    <s v="Freyre Diego"/>
  </r>
  <r>
    <n v="10158"/>
    <x v="17"/>
    <x v="4"/>
    <s v="October"/>
    <x v="0"/>
    <n v="22"/>
    <n v="67.03"/>
    <n v="1474.66"/>
    <n v="1"/>
    <x v="0"/>
    <n v="76"/>
    <s v="S24_2000"/>
    <s v="Stavern"/>
    <s v="4110"/>
    <x v="2"/>
    <x v="1"/>
    <s v="Bergulfsen"/>
    <s v="Jonas"/>
    <x v="0"/>
    <s v="Bergulfsen Jonas"/>
  </r>
  <r>
    <n v="10340"/>
    <x v="53"/>
    <x v="20"/>
    <s v="November"/>
    <x v="0"/>
    <n v="55"/>
    <n v="79.98"/>
    <n v="4398.8999999999996"/>
    <n v="8"/>
    <x v="0"/>
    <n v="76"/>
    <s v="S24_2000"/>
    <s v="Barcelona"/>
    <s v="8022"/>
    <x v="7"/>
    <x v="1"/>
    <s v="Saavedra"/>
    <s v="Eduardo"/>
    <x v="1"/>
    <s v="Saavedra Eduardo"/>
  </r>
  <r>
    <n v="10345"/>
    <x v="46"/>
    <x v="201"/>
    <s v="November"/>
    <x v="0"/>
    <n v="43"/>
    <n v="53.76"/>
    <n v="2311.6799999999998"/>
    <n v="1"/>
    <x v="3"/>
    <n v="44"/>
    <s v="S24_2022"/>
    <s v="Nantes"/>
    <s v="44000"/>
    <x v="1"/>
    <x v="1"/>
    <s v="Schmitt"/>
    <s v="Carine"/>
    <x v="0"/>
    <s v="Schmitt Carine"/>
  </r>
  <r>
    <n v="10190"/>
    <x v="23"/>
    <x v="240"/>
    <s v="November"/>
    <x v="0"/>
    <n v="42"/>
    <n v="76.19"/>
    <n v="3199.98"/>
    <n v="3"/>
    <x v="0"/>
    <n v="69"/>
    <s v="S24_2360"/>
    <s v="Madrid"/>
    <s v="28034"/>
    <x v="7"/>
    <x v="1"/>
    <s v="Freyre"/>
    <s v="Diego"/>
    <x v="1"/>
    <s v="Freyre Diego"/>
  </r>
  <r>
    <n v="10368"/>
    <x v="39"/>
    <x v="241"/>
    <s v="January"/>
    <x v="0"/>
    <n v="40"/>
    <n v="100"/>
    <n v="4107.2"/>
    <n v="2"/>
    <x v="1"/>
    <n v="90"/>
    <s v="S24_2766"/>
    <s v="San Rafael"/>
    <s v="97562"/>
    <x v="0"/>
    <x v="0"/>
    <s v="Nelson"/>
    <s v="Valarie"/>
    <x v="1"/>
    <s v="Nelson Valarie"/>
  </r>
  <r>
    <n v="10335"/>
    <x v="39"/>
    <x v="97"/>
    <s v="November"/>
    <x v="0"/>
    <n v="33"/>
    <n v="37.130000000000003"/>
    <n v="1225.29"/>
    <n v="2"/>
    <x v="1"/>
    <n v="35"/>
    <s v="S24_2840"/>
    <s v="San Rafael"/>
    <s v="97562"/>
    <x v="0"/>
    <x v="0"/>
    <s v="Nelson"/>
    <s v="Valarie"/>
    <x v="0"/>
    <s v="Nelson Valarie"/>
  </r>
  <r>
    <n v="10154"/>
    <x v="80"/>
    <x v="242"/>
    <s v="October"/>
    <x v="0"/>
    <n v="31"/>
    <n v="91.17"/>
    <n v="2826.27"/>
    <n v="2"/>
    <x v="3"/>
    <n v="88"/>
    <s v="S24_3151"/>
    <s v="Glendale"/>
    <s v="92561"/>
    <x v="0"/>
    <x v="0"/>
    <s v="Young"/>
    <s v="Leslie"/>
    <x v="0"/>
    <s v="Young Leslie"/>
  </r>
  <r>
    <n v="10233"/>
    <x v="12"/>
    <x v="243"/>
    <s v="March"/>
    <x v="0"/>
    <n v="40"/>
    <n v="94.71"/>
    <n v="3788.4"/>
    <n v="2"/>
    <x v="3"/>
    <n v="88"/>
    <s v="S24_3151"/>
    <s v="Newark"/>
    <s v="94019"/>
    <x v="0"/>
    <x v="0"/>
    <s v="Brown"/>
    <s v="William"/>
    <x v="1"/>
    <s v="Brown William"/>
  </r>
  <r>
    <n v="10385"/>
    <x v="39"/>
    <x v="244"/>
    <s v="February"/>
    <x v="0"/>
    <n v="37"/>
    <n v="85.54"/>
    <n v="3164.98"/>
    <n v="2"/>
    <x v="3"/>
    <n v="83"/>
    <s v="S24_3816"/>
    <s v="San Rafael"/>
    <s v="97562"/>
    <x v="0"/>
    <x v="0"/>
    <s v="Nelson"/>
    <s v="Valarie"/>
    <x v="1"/>
    <s v="Nelson Valarie"/>
  </r>
  <r>
    <n v="10242"/>
    <x v="79"/>
    <x v="245"/>
    <s v="April"/>
    <x v="0"/>
    <n v="46"/>
    <n v="36.93"/>
    <n v="1698.78"/>
    <n v="1"/>
    <x v="3"/>
    <n v="41"/>
    <s v="S24_3969"/>
    <s v="NYC"/>
    <s v="10022"/>
    <x v="0"/>
    <x v="0"/>
    <s v="Kuo"/>
    <s v="Kee"/>
    <x v="0"/>
    <s v="Kuo Kee"/>
  </r>
  <r>
    <n v="10408"/>
    <x v="35"/>
    <x v="185"/>
    <s v="April"/>
    <x v="0"/>
    <n v="15"/>
    <n v="36.93"/>
    <n v="553.95000000000005"/>
    <n v="1"/>
    <x v="3"/>
    <n v="41"/>
    <s v="S24_3969"/>
    <s v="Minato-ku"/>
    <s v="106-0032"/>
    <x v="11"/>
    <x v="3"/>
    <s v="Shimamura"/>
    <s v="Akiko"/>
    <x v="0"/>
    <s v="Shimamura Akiko"/>
  </r>
  <r>
    <n v="10317"/>
    <x v="5"/>
    <x v="18"/>
    <s v="November"/>
    <x v="0"/>
    <n v="35"/>
    <n v="83.32"/>
    <n v="2916.2"/>
    <n v="1"/>
    <x v="4"/>
    <n v="72"/>
    <s v="S24_4278"/>
    <s v="Burlingame"/>
    <s v="94217"/>
    <x v="0"/>
    <x v="0"/>
    <s v="Hirano"/>
    <s v="Juri"/>
    <x v="0"/>
    <s v="Hirano Juri"/>
  </r>
  <r>
    <n v="10387"/>
    <x v="26"/>
    <x v="246"/>
    <s v="March"/>
    <x v="0"/>
    <n v="44"/>
    <n v="94.9"/>
    <n v="4175.6000000000004"/>
    <n v="1"/>
    <x v="0"/>
    <n v="99"/>
    <s v="S32_1374"/>
    <s v="Singapore"/>
    <s v="79903"/>
    <x v="9"/>
    <x v="3"/>
    <s v="Natividad"/>
    <s v="Eric"/>
    <x v="1"/>
    <s v="Natividad Eric"/>
  </r>
  <r>
    <n v="10364"/>
    <x v="67"/>
    <x v="115"/>
    <s v="January"/>
    <x v="0"/>
    <n v="48"/>
    <n v="48.28"/>
    <n v="2317.44"/>
    <n v="1"/>
    <x v="0"/>
    <n v="40"/>
    <s v="S32_2206"/>
    <s v="Marseille"/>
    <s v="13008"/>
    <x v="1"/>
    <x v="1"/>
    <s v="Lebihan"/>
    <s v="Laurence"/>
    <x v="0"/>
    <s v="Lebihan Laurence"/>
  </r>
  <r>
    <n v="10116"/>
    <x v="90"/>
    <x v="247"/>
    <s v="April"/>
    <x v="0"/>
    <n v="27"/>
    <n v="63.38"/>
    <n v="1711.26"/>
    <n v="1"/>
    <x v="6"/>
    <n v="62"/>
    <s v="S32_3207"/>
    <s v="Charleroi"/>
    <s v="B-6000"/>
    <x v="14"/>
    <x v="1"/>
    <s v="Cartrain"/>
    <s v="Pascale"/>
    <x v="0"/>
    <s v="Cartrain Pascale"/>
  </r>
  <r>
    <n v="10144"/>
    <x v="90"/>
    <x v="248"/>
    <s v="August"/>
    <x v="0"/>
    <n v="20"/>
    <n v="81.86"/>
    <n v="1637.2"/>
    <n v="1"/>
    <x v="3"/>
    <n v="68"/>
    <s v="S32_4289"/>
    <s v="Charleroi"/>
    <s v="B-6000"/>
    <x v="14"/>
    <x v="1"/>
    <s v="Cartrain"/>
    <s v="Pascale"/>
    <x v="0"/>
    <s v="Cartrain Pascale"/>
  </r>
  <r>
    <n v="10156"/>
    <x v="23"/>
    <x v="249"/>
    <s v="October"/>
    <x v="0"/>
    <n v="20"/>
    <n v="41.02"/>
    <n v="820.4"/>
    <n v="1"/>
    <x v="3"/>
    <n v="43"/>
    <s v="S50_1341"/>
    <s v="Madrid"/>
    <s v="28034"/>
    <x v="7"/>
    <x v="1"/>
    <s v="Freyre"/>
    <s v="Diego"/>
    <x v="0"/>
    <s v="Freyre Diego"/>
  </r>
  <r>
    <n v="10199"/>
    <x v="32"/>
    <x v="8"/>
    <s v="December"/>
    <x v="0"/>
    <n v="29"/>
    <n v="38.4"/>
    <n v="1113.5999999999999"/>
    <n v="1"/>
    <x v="3"/>
    <n v="43"/>
    <s v="S50_1341"/>
    <s v="Burbank"/>
    <s v="94019"/>
    <x v="0"/>
    <x v="0"/>
    <s v="Thompson"/>
    <s v="Steve"/>
    <x v="0"/>
    <s v="Thompson Steve"/>
  </r>
  <r>
    <n v="10397"/>
    <x v="51"/>
    <x v="250"/>
    <s v="March"/>
    <x v="0"/>
    <n v="32"/>
    <n v="80.55"/>
    <n v="2577.6"/>
    <n v="5"/>
    <x v="5"/>
    <n v="86"/>
    <s v="S700_1938"/>
    <s v="Toulouse"/>
    <s v="31000"/>
    <x v="1"/>
    <x v="1"/>
    <s v="Roulet"/>
    <s v="Annette"/>
    <x v="0"/>
    <s v="Roulet Annette"/>
  </r>
  <r>
    <n v="10352"/>
    <x v="91"/>
    <x v="195"/>
    <s v="December"/>
    <x v="0"/>
    <n v="23"/>
    <n v="100"/>
    <n v="2352.67"/>
    <n v="3"/>
    <x v="5"/>
    <n v="90"/>
    <s v="S700_2047"/>
    <s v="Brickhaven"/>
    <s v="58339"/>
    <x v="0"/>
    <x v="0"/>
    <s v="Taylor"/>
    <s v="Leslie"/>
    <x v="0"/>
    <s v="Taylor Leslie"/>
  </r>
  <r>
    <n v="10118"/>
    <x v="53"/>
    <x v="251"/>
    <s v="April"/>
    <x v="0"/>
    <n v="36"/>
    <n v="100"/>
    <n v="4219.2"/>
    <n v="1"/>
    <x v="5"/>
    <n v="100"/>
    <s v="S700_3505"/>
    <s v="Barcelona"/>
    <s v="8022"/>
    <x v="7"/>
    <x v="1"/>
    <s v="Saavedra"/>
    <s v="Eduardo"/>
    <x v="1"/>
    <s v="Saavedra Eduardo"/>
  </r>
  <r>
    <n v="10294"/>
    <x v="71"/>
    <x v="77"/>
    <s v="September"/>
    <x v="0"/>
    <n v="45"/>
    <n v="100"/>
    <n v="4692.6000000000004"/>
    <n v="1"/>
    <x v="5"/>
    <n v="99"/>
    <s v="S700_3962"/>
    <s v="Brickhaven"/>
    <s v="58339"/>
    <x v="0"/>
    <x v="0"/>
    <s v="Barajas"/>
    <s v="Miguel"/>
    <x v="1"/>
    <s v="Barajas Migu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EDA395-987C-461C-923C-29AEE2FA7122}" name="product-Analysi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29:E37" firstHeaderRow="1" firstDataRow="1" firstDataCol="1"/>
  <pivotFields count="23">
    <pivotField showAll="0"/>
    <pivotField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items count="7">
        <item x="3"/>
        <item x="1"/>
        <item x="2"/>
        <item x="4"/>
        <item x="5"/>
        <item x="0"/>
        <item t="default"/>
      </items>
    </pivotField>
    <pivotField showAll="0"/>
    <pivotField showAll="0"/>
    <pivotField dataField="1" showAll="0"/>
    <pivotField showAll="0"/>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8">
    <i>
      <x/>
    </i>
    <i>
      <x v="6"/>
    </i>
    <i>
      <x v="1"/>
    </i>
    <i>
      <x v="2"/>
    </i>
    <i>
      <x v="5"/>
    </i>
    <i>
      <x v="3"/>
    </i>
    <i>
      <x v="4"/>
    </i>
    <i t="grand">
      <x/>
    </i>
  </rowItems>
  <colItems count="1">
    <i/>
  </colItems>
  <dataFields count="1">
    <dataField name="Sum of 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2A84FF-7C0F-44FF-98C7-B93771C94419}" name="Sales-Trend"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6:B19" firstHeaderRow="1" firstDataRow="1" firstDataCol="1"/>
  <pivotFields count="23">
    <pivotField showAll="0"/>
    <pivotField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items count="7">
        <item x="3"/>
        <item x="1"/>
        <item x="2"/>
        <item x="4"/>
        <item x="5"/>
        <item x="0"/>
        <item t="default"/>
      </items>
    </pivotField>
    <pivotField showAll="0"/>
    <pivotField showAll="0"/>
    <pivotField dataField="1" showAll="0"/>
    <pivotField showAll="0"/>
    <pivotField showAll="0">
      <items count="8">
        <item x="1"/>
        <item x="0"/>
        <item x="4"/>
        <item x="5"/>
        <item x="6"/>
        <item x="2"/>
        <item x="3"/>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2">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4BC21A-F1FC-494D-941A-DC1DA2DEDE2B}" name="Territory-Analysi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G1:H6" firstHeaderRow="1" firstDataRow="1" firstDataCol="1"/>
  <pivotFields count="23">
    <pivotField showAll="0"/>
    <pivotField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items count="7">
        <item x="3"/>
        <item x="1"/>
        <item x="2"/>
        <item x="4"/>
        <item x="5"/>
        <item x="0"/>
        <item t="default"/>
      </items>
    </pivotField>
    <pivotField showAll="0"/>
    <pivotField showAll="0"/>
    <pivotField dataField="1" showAll="0"/>
    <pivotField showAll="0"/>
    <pivotField showAll="0">
      <items count="8">
        <item x="1"/>
        <item x="0"/>
        <item x="4"/>
        <item x="5"/>
        <item x="6"/>
        <item x="2"/>
        <item x="3"/>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5">
    <i>
      <x v="1"/>
    </i>
    <i>
      <x v="3"/>
    </i>
    <i>
      <x/>
    </i>
    <i>
      <x v="2"/>
    </i>
    <i t="grand">
      <x/>
    </i>
  </rowItems>
  <colItems count="1">
    <i/>
  </colItems>
  <dataFields count="1">
    <dataField name="Sum of SALES" fld="7"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E0CAE-7114-4162-BF0B-FFDC6034ADE1}" name="Order Statu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J8:K15" firstHeaderRow="1" firstDataRow="1" firstDataCol="1"/>
  <pivotFields count="23">
    <pivotField dataField="1" showAll="0"/>
    <pivotField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axis="axisRow" showAll="0">
      <items count="7">
        <item x="3"/>
        <item x="1"/>
        <item x="2"/>
        <item x="4"/>
        <item x="5"/>
        <item x="0"/>
        <item t="default"/>
      </items>
    </pivotField>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7">
    <i>
      <x/>
    </i>
    <i>
      <x v="1"/>
    </i>
    <i>
      <x v="2"/>
    </i>
    <i>
      <x v="3"/>
    </i>
    <i>
      <x v="4"/>
    </i>
    <i>
      <x v="5"/>
    </i>
    <i t="grand">
      <x/>
    </i>
  </rowItems>
  <colItems count="1">
    <i/>
  </colItems>
  <dataFields count="1">
    <dataField name="Count of ORDERNUMBER" fld="0" subtotal="count" baseField="4"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5"/>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4"/>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0"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C7EAFF-9121-4C63-8A06-5FBC08ACDFB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8:G29" firstHeaderRow="1" firstDataRow="1" firstDataCol="0"/>
  <pivotFields count="1">
    <pivotField dataField="1" subtotalTop="0" showAll="0" defaultSubtotal="0"/>
  </pivotFields>
  <rowItems count="1">
    <i/>
  </rowItems>
  <colItems count="1">
    <i/>
  </colItems>
  <dataFields count="1">
    <dataField name="Total Customer" fld="0" subtotal="count" baseField="0" baseItem="0">
      <extLst>
        <ext xmlns:x15="http://schemas.microsoft.com/office/spreadsheetml/2010/11/main" uri="{FABC7310-3BB5-11E1-824E-6D434824019B}">
          <x15:dataField isCountDistinct="1"/>
        </ext>
      </extLst>
    </dataField>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Clean.xlsx!sales_data_sample">
        <x15:activeTabTopLevelEntity name="[sales_data_sam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1B23AB-FB25-4DCC-9D7F-8FD8E1323BDF}" name="Customer-Analysi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G8:H19" firstHeaderRow="1" firstDataRow="1" firstDataCol="1"/>
  <pivotFields count="23">
    <pivotField showAll="0"/>
    <pivotField axis="axisRow" showAll="0" measureFilter="1" sortType="ascending">
      <items count="93">
        <item x="32"/>
        <item x="24"/>
        <item x="11"/>
        <item x="69"/>
        <item x="22"/>
        <item x="3"/>
        <item x="16"/>
        <item x="68"/>
        <item x="35"/>
        <item x="61"/>
        <item x="12"/>
        <item x="5"/>
        <item x="34"/>
        <item x="73"/>
        <item x="49"/>
        <item x="20"/>
        <item x="84"/>
        <item x="82"/>
        <item x="37"/>
        <item x="30"/>
        <item x="19"/>
        <item x="90"/>
        <item x="57"/>
        <item x="86"/>
        <item x="1"/>
        <item x="43"/>
        <item x="56"/>
        <item x="60"/>
        <item x="44"/>
        <item x="71"/>
        <item x="40"/>
        <item x="85"/>
        <item x="74"/>
        <item x="45"/>
        <item x="8"/>
        <item x="39"/>
        <item x="50"/>
        <item x="47"/>
        <item x="83"/>
        <item x="63"/>
        <item x="79"/>
        <item x="54"/>
        <item x="15"/>
        <item x="67"/>
        <item x="2"/>
        <item x="70"/>
        <item x="0"/>
        <item x="14"/>
        <item x="62"/>
        <item x="81"/>
        <item x="7"/>
        <item x="78"/>
        <item x="65"/>
        <item x="59"/>
        <item x="58"/>
        <item x="88"/>
        <item x="13"/>
        <item x="21"/>
        <item x="23"/>
        <item x="53"/>
        <item x="26"/>
        <item x="52"/>
        <item x="64"/>
        <item x="18"/>
        <item x="48"/>
        <item x="6"/>
        <item x="66"/>
        <item x="25"/>
        <item x="4"/>
        <item x="41"/>
        <item x="55"/>
        <item x="75"/>
        <item x="27"/>
        <item x="29"/>
        <item x="31"/>
        <item x="33"/>
        <item x="76"/>
        <item x="80"/>
        <item x="72"/>
        <item x="89"/>
        <item x="17"/>
        <item x="77"/>
        <item x="91"/>
        <item x="9"/>
        <item x="38"/>
        <item x="28"/>
        <item x="10"/>
        <item x="87"/>
        <item x="46"/>
        <item x="42"/>
        <item x="36"/>
        <item x="51"/>
        <item t="default"/>
      </items>
      <autoSortScope>
        <pivotArea dataOnly="0" outline="0" fieldPosition="0">
          <references count="1">
            <reference field="4294967294" count="1" selected="0">
              <x v="0"/>
            </reference>
          </references>
        </pivotArea>
      </autoSortScope>
    </pivotField>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items count="7">
        <item x="3"/>
        <item x="1"/>
        <item x="2"/>
        <item x="4"/>
        <item x="5"/>
        <item x="0"/>
        <item t="default"/>
      </items>
    </pivotField>
    <pivotField showAll="0"/>
    <pivotField showAll="0"/>
    <pivotField dataField="1" showAll="0"/>
    <pivotField showAll="0"/>
    <pivotField showAll="0">
      <items count="8">
        <item x="1"/>
        <item x="0"/>
        <item x="4"/>
        <item x="5"/>
        <item x="6"/>
        <item x="2"/>
        <item x="3"/>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1">
    <i>
      <x v="45"/>
    </i>
    <i>
      <x v="1"/>
    </i>
    <i>
      <x v="63"/>
    </i>
    <i>
      <x v="68"/>
    </i>
    <i>
      <x v="32"/>
    </i>
    <i>
      <x v="64"/>
    </i>
    <i>
      <x v="9"/>
    </i>
    <i>
      <x v="60"/>
    </i>
    <i>
      <x v="35"/>
    </i>
    <i>
      <x v="58"/>
    </i>
    <i t="grand">
      <x/>
    </i>
  </rowItems>
  <colItems count="1">
    <i/>
  </colItems>
  <dataFields count="1">
    <dataField name="Sum of SALES" fld="7"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58"/>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58"/>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C5C3D6-17C8-4DC1-AE21-AF1D24CA5019}" name="Country Analysi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6:E26" firstHeaderRow="1" firstDataRow="1" firstDataCol="1"/>
  <pivotFields count="23">
    <pivotField showAll="0"/>
    <pivotField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items count="7">
        <item x="3"/>
        <item x="1"/>
        <item x="2"/>
        <item x="4"/>
        <item x="5"/>
        <item x="0"/>
        <item t="default"/>
      </items>
    </pivotField>
    <pivotField showAll="0"/>
    <pivotField showAll="0"/>
    <pivotField dataField="1" showAll="0"/>
    <pivotField showAll="0"/>
    <pivotField showAll="0">
      <items count="8">
        <item x="1"/>
        <item x="0"/>
        <item x="4"/>
        <item x="5"/>
        <item x="6"/>
        <item x="2"/>
        <item x="3"/>
        <item t="default"/>
      </items>
    </pivotField>
    <pivotField showAll="0"/>
    <pivotField showAll="0"/>
    <pivotField showAll="0"/>
    <pivotField showAll="0"/>
    <pivotField axis="axisRow" showAll="0"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20">
    <i>
      <x v="18"/>
    </i>
    <i>
      <x v="6"/>
    </i>
    <i>
      <x v="14"/>
    </i>
    <i>
      <x/>
    </i>
    <i>
      <x v="17"/>
    </i>
    <i>
      <x v="9"/>
    </i>
    <i>
      <x v="13"/>
    </i>
    <i>
      <x v="11"/>
    </i>
    <i>
      <x v="4"/>
    </i>
    <i>
      <x v="15"/>
    </i>
    <i>
      <x v="7"/>
    </i>
    <i>
      <x v="5"/>
    </i>
    <i>
      <x v="3"/>
    </i>
    <i>
      <x v="1"/>
    </i>
    <i>
      <x v="10"/>
    </i>
    <i>
      <x v="2"/>
    </i>
    <i>
      <x v="12"/>
    </i>
    <i>
      <x v="8"/>
    </i>
    <i>
      <x v="16"/>
    </i>
    <i t="grand">
      <x/>
    </i>
  </rowItems>
  <colItems count="1">
    <i/>
  </colItems>
  <dataFields count="1">
    <dataField name="Sum of SALES" fld="7" baseField="0" baseItem="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1613FC-CF25-43A1-BED0-286A05D72AE5}" name="Kpi" cacheId="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C4" firstHeaderRow="0" firstDataRow="1" firstDataCol="0"/>
  <pivotFields count="23">
    <pivotField dataField="1" showAll="0"/>
    <pivotField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items count="7">
        <item x="3"/>
        <item x="1"/>
        <item x="2"/>
        <item x="4"/>
        <item x="5"/>
        <item x="0"/>
        <item t="default"/>
      </items>
    </pivotField>
    <pivotField dataField="1" showAll="0"/>
    <pivotField showAll="0"/>
    <pivotField dataField="1" showAll="0"/>
    <pivotField showAll="0"/>
    <pivotField showAll="0">
      <items count="8">
        <item x="1"/>
        <item x="0"/>
        <item x="4"/>
        <item x="5"/>
        <item x="6"/>
        <item x="2"/>
        <item x="3"/>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Total sales" fld="7" baseField="0" baseItem="1" numFmtId="164"/>
    <dataField name="Total Order" fld="0" subtotal="count" baseField="0" baseItem="1"/>
    <dataField name="Total Quantity Sold" fld="5" baseField="0" baseItem="2" numFmtId="167"/>
  </dataFields>
  <formats count="2">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0E530C-1509-495D-B511-813E958C4E67}" name="Deal-Siz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J1:K5" firstHeaderRow="1" firstDataRow="1" firstDataCol="1"/>
  <pivotFields count="23">
    <pivotField showAll="0"/>
    <pivotField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items count="7">
        <item x="3"/>
        <item x="1"/>
        <item x="2"/>
        <item x="4"/>
        <item x="5"/>
        <item x="0"/>
        <item t="default"/>
      </items>
    </pivotField>
    <pivotField showAll="0"/>
    <pivotField showAll="0"/>
    <pivotField dataField="1" showAll="0"/>
    <pivotField showAll="0"/>
    <pivotField showAll="0">
      <items count="8">
        <item x="1"/>
        <item x="0"/>
        <item x="4"/>
        <item x="5"/>
        <item x="6"/>
        <item x="2"/>
        <item x="3"/>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axis="axisRow" showAll="0">
      <items count="4">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8"/>
  </rowFields>
  <rowItems count="4">
    <i>
      <x/>
    </i>
    <i>
      <x v="1"/>
    </i>
    <i>
      <x v="2"/>
    </i>
    <i t="grand">
      <x/>
    </i>
  </rowItems>
  <colItems count="1">
    <i/>
  </colItems>
  <dataFields count="1">
    <dataField name="Sum of SALES" fld="7" baseField="0" baseItem="0"/>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8" count="1" selected="0">
            <x v="0"/>
          </reference>
        </references>
      </pivotArea>
    </chartFormat>
    <chartFormat chart="8" format="10">
      <pivotArea type="data" outline="0" fieldPosition="0">
        <references count="2">
          <reference field="4294967294" count="1" selected="0">
            <x v="0"/>
          </reference>
          <reference field="18" count="1" selected="0">
            <x v="1"/>
          </reference>
        </references>
      </pivotArea>
    </chartFormat>
    <chartFormat chart="8"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9DD8856-2040-4F27-98D5-BE26CC3DFA7A}" autoFormatId="16" applyNumberFormats="0" applyBorderFormats="0" applyFontFormats="0" applyPatternFormats="0" applyAlignmentFormats="0" applyWidthHeightFormats="0">
  <queryTableRefresh nextId="21" unboundColumnsRight="1">
    <queryTableFields count="20">
      <queryTableField id="1" name="ORDERNUMBER" tableColumnId="1"/>
      <queryTableField id="2" name="CUSTOMERNAME" tableColumnId="2"/>
      <queryTableField id="3" name="OrderDate" tableColumnId="3"/>
      <queryTableField id="4" name="Month Name" tableColumnId="4"/>
      <queryTableField id="5" name="STATUS" tableColumnId="5"/>
      <queryTableField id="6" name="QUANTITYORDERED" tableColumnId="6"/>
      <queryTableField id="7" name="PRICEEACH" tableColumnId="7"/>
      <queryTableField id="8" name="SALES" tableColumnId="8"/>
      <queryTableField id="9" name="ORDERLINENUMBER" tableColumnId="9"/>
      <queryTableField id="10" name="PRODUCTLINE" tableColumnId="10"/>
      <queryTableField id="11" name="MSRP" tableColumnId="11"/>
      <queryTableField id="12" name="PRODUCTCODE" tableColumnId="12"/>
      <queryTableField id="13" name="CITY" tableColumnId="13"/>
      <queryTableField id="14" name="POSTALCODE" tableColumnId="14"/>
      <queryTableField id="15" name="COUNTRY" tableColumnId="15"/>
      <queryTableField id="16" name="TERRITORY" tableColumnId="16"/>
      <queryTableField id="17" name="CONTACTLASTNAME" tableColumnId="17"/>
      <queryTableField id="18" name="CONTACTFIRSTNAME" tableColumnId="18"/>
      <queryTableField id="19" name="DEALSIZE"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F1AE308-E1EC-4705-B837-36C92194FFE1}" sourceName="COUNTRY">
  <pivotTables>
    <pivotTable tabId="3" name="Country Analysis"/>
    <pivotTable tabId="3" name="Customer-Analysis"/>
    <pivotTable tabId="3" name="Deal-Size"/>
    <pivotTable tabId="3" name="Kpi"/>
    <pivotTable tabId="3" name="Order Status"/>
    <pivotTable tabId="3" name="product-Analysis"/>
    <pivotTable tabId="3" name="Sales-Trend"/>
    <pivotTable tabId="3" name="Territory-Analysis"/>
  </pivotTables>
  <data>
    <tabular pivotCacheId="1725962684">
      <items count="19">
        <i x="3" s="1"/>
        <i x="5" s="1"/>
        <i x="14" s="1"/>
        <i x="10" s="1"/>
        <i x="13" s="1"/>
        <i x="4" s="1"/>
        <i x="1" s="1"/>
        <i x="16" s="1"/>
        <i x="18" s="1"/>
        <i x="12" s="1"/>
        <i x="11" s="1"/>
        <i x="2" s="1"/>
        <i x="15" s="1"/>
        <i x="9" s="1"/>
        <i x="7" s="1"/>
        <i x="8" s="1"/>
        <i x="17"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FBE3C1BC-0039-4D82-89B2-F979C8821CC1}" sourceName="TERRITORY">
  <pivotTables>
    <pivotTable tabId="3" name="Territory-Analysis"/>
    <pivotTable tabId="3" name="Country Analysis"/>
    <pivotTable tabId="3" name="Customer-Analysis"/>
    <pivotTable tabId="3" name="Deal-Size"/>
    <pivotTable tabId="3" name="Kpi"/>
    <pivotTable tabId="3" name="Order Status"/>
    <pivotTable tabId="3" name="product-Analysis"/>
    <pivotTable tabId="3" name="Sales-Trend"/>
  </pivotTables>
  <data>
    <tabular pivotCacheId="1725962684">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42B8D0B6-8868-49FC-A206-1901B6FC648C}" sourceName="DEALSIZE">
  <pivotTables>
    <pivotTable tabId="3" name="Deal-Size"/>
    <pivotTable tabId="3" name="Country Analysis"/>
    <pivotTable tabId="3" name="Customer-Analysis"/>
    <pivotTable tabId="3" name="Kpi"/>
    <pivotTable tabId="3" name="Order Status"/>
    <pivotTable tabId="3" name="product-Analysis"/>
    <pivotTable tabId="3" name="Sales-Trend"/>
    <pivotTable tabId="3" name="Territory-Analysis"/>
  </pivotTables>
  <data>
    <tabular pivotCacheId="172596268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77DF3A4-C2FB-4D4F-BE40-466D77DE7980}" sourceName="STATUS">
  <pivotTables>
    <pivotTable tabId="3" name="Order Status"/>
    <pivotTable tabId="3" name="Country Analysis"/>
    <pivotTable tabId="3" name="Customer-Analysis"/>
    <pivotTable tabId="3" name="Deal-Size"/>
    <pivotTable tabId="3" name="Kpi"/>
    <pivotTable tabId="3" name="product-Analysis"/>
    <pivotTable tabId="3" name="Sales-Trend"/>
    <pivotTable tabId="3" name="Territory-Analysis"/>
  </pivotTables>
  <data>
    <tabular pivotCacheId="1725962684">
      <items count="6">
        <i x="3" s="1"/>
        <i x="1" s="1"/>
        <i x="2" s="1"/>
        <i x="4" s="1"/>
        <i x="5"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B85784F4-2DF2-418D-9964-1BF06CC38478}" sourceName="PRODUCTLINE">
  <pivotTables>
    <pivotTable tabId="3" name="product-Analysis"/>
    <pivotTable tabId="3" name="Country Analysis"/>
    <pivotTable tabId="3" name="Customer-Analysis"/>
    <pivotTable tabId="3" name="Deal-Size"/>
    <pivotTable tabId="3" name="Kpi"/>
    <pivotTable tabId="3" name="Order Status"/>
    <pivotTable tabId="3" name="Sales-Trend"/>
    <pivotTable tabId="3" name="Territory-Analysis"/>
  </pivotTables>
  <data>
    <tabular pivotCacheId="1725962684">
      <items count="7">
        <i x="1" s="1"/>
        <i x="0" s="1"/>
        <i x="4" s="1"/>
        <i x="5" s="1"/>
        <i x="6"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7F1EBEA-B1AF-49B4-94A1-3FFA1D1E8CA8}" cache="Slicer_COUNTRY" caption="COUNTRY" style="SlicerStyleLight6" rowHeight="234950"/>
  <slicer name="TERRITORY" xr10:uid="{08E72115-21DE-4EC1-A101-D24F0A275DD3}" cache="Slicer_TERRITORY" caption="TERRITORY" style="SlicerStyleLight6" rowHeight="234950"/>
  <slicer name="DEALSIZE" xr10:uid="{3ED35A25-4CB8-4B5B-9C4C-C4C9B1438DC2}" cache="Slicer_DEALSIZE" caption="DEALSIZE" style="SlicerStyleLight6" rowHeight="234950"/>
  <slicer name="STATUS" xr10:uid="{6AA9F15B-151F-4704-8B20-408CE08ADE14}" cache="Slicer_STATUS" caption="STATUS" style="SlicerStyleLight6" rowHeight="234950"/>
  <slicer name="PRODUCTLINE" xr10:uid="{9C2A03AC-883D-4CB4-AAC1-AED44AD939E1}" cache="Slicer_PRODUCTLINE" caption="PRODUCTLINE"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554283-5DBC-42BC-B6FC-54617ABE68B4}" name="sales_data_sample" displayName="sales_data_sample" ref="A1:T308" tableType="queryTable" totalsRowShown="0">
  <autoFilter ref="A1:T308" xr:uid="{86554283-5DBC-42BC-B6FC-54617ABE68B4}"/>
  <tableColumns count="20">
    <tableColumn id="1" xr3:uid="{591A4839-6B58-40E8-AFA0-343A648505D5}" uniqueName="1" name="ORDERNUMBER" queryTableFieldId="1"/>
    <tableColumn id="2" xr3:uid="{A9398072-F381-4A6F-816F-31A0EAD46A30}" uniqueName="2" name="CUSTOMERNAME" queryTableFieldId="2" dataDxfId="13"/>
    <tableColumn id="3" xr3:uid="{4514595E-7BEA-4B29-AA5B-6158A7F50FCE}" uniqueName="3" name="OrderDate" queryTableFieldId="3" dataDxfId="12"/>
    <tableColumn id="4" xr3:uid="{F7C01040-8FBD-4B70-82B3-9CE4359772AC}" uniqueName="4" name="Month Name" queryTableFieldId="4" dataDxfId="11"/>
    <tableColumn id="5" xr3:uid="{4BA98994-45D6-45F1-89D4-50656828AE05}" uniqueName="5" name="STATUS" queryTableFieldId="5" dataDxfId="10"/>
    <tableColumn id="6" xr3:uid="{01874E82-F2AA-4287-B1F3-3002CA9885F0}" uniqueName="6" name="QUANTITYORDERED" queryTableFieldId="6"/>
    <tableColumn id="7" xr3:uid="{D934F28A-A2C4-4A42-AED9-A9924688BEF8}" uniqueName="7" name="PRICEEACH" queryTableFieldId="7"/>
    <tableColumn id="8" xr3:uid="{056A9799-169C-4677-95B6-DD98B253BD8F}" uniqueName="8" name="SALES" queryTableFieldId="8"/>
    <tableColumn id="9" xr3:uid="{64054F21-E0FB-46D3-924E-30FD1DDC3F5C}" uniqueName="9" name="ORDERLINENUMBER" queryTableFieldId="9"/>
    <tableColumn id="10" xr3:uid="{30028454-7C17-4067-ACBA-EE9DFC3ADD55}" uniqueName="10" name="PRODUCTLINE" queryTableFieldId="10" dataDxfId="9"/>
    <tableColumn id="11" xr3:uid="{4221EC83-E2C2-4D92-BB09-1E12FB84B738}" uniqueName="11" name="MSRP" queryTableFieldId="11"/>
    <tableColumn id="12" xr3:uid="{457C2D75-FDA0-442A-9410-9B4CFA39D882}" uniqueName="12" name="PRODUCTCODE" queryTableFieldId="12" dataDxfId="8"/>
    <tableColumn id="13" xr3:uid="{5B46AA49-53A8-4AFD-B1F1-49882F76C09F}" uniqueName="13" name="CITY" queryTableFieldId="13" dataDxfId="7"/>
    <tableColumn id="14" xr3:uid="{2E3B7647-23C6-4E92-B75A-96CB237A3230}" uniqueName="14" name="POSTALCODE" queryTableFieldId="14" dataDxfId="6"/>
    <tableColumn id="15" xr3:uid="{8FC1A040-99DE-4406-AAE6-C9AA42500F64}" uniqueName="15" name="COUNTRY" queryTableFieldId="15" dataDxfId="5"/>
    <tableColumn id="16" xr3:uid="{340D6DD7-9120-4207-8FA4-582C467ACA62}" uniqueName="16" name="TERRITORY" queryTableFieldId="16" dataDxfId="4"/>
    <tableColumn id="17" xr3:uid="{87F1C504-0B7C-44C2-9F13-F42C645064E4}" uniqueName="17" name="CONTACTLASTNAME" queryTableFieldId="17" dataDxfId="3"/>
    <tableColumn id="18" xr3:uid="{DC4401FC-86B4-4D17-9B33-DE03F469647E}" uniqueName="18" name="CONTACTFIRSTNAME" queryTableFieldId="18" dataDxfId="2"/>
    <tableColumn id="19" xr3:uid="{A8024E7F-53E0-4B05-B666-CAF315D319F6}" uniqueName="19" name="DEALSIZE" queryTableFieldId="19" dataDxfId="1"/>
    <tableColumn id="20" xr3:uid="{5E8A2799-0733-4D61-8D48-954C723FC9CD}" uniqueName="20" name="Customer Full Name" queryTableFieldId="20" dataDxfId="0">
      <calculatedColumnFormula>_xlfn.CONCAT(sales_data_sample[[#This Row],[CONTACTLASTNAME]]," ",sales_data_sample[[#This Row],[CONTACTFIRSTNAME]])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AE2C8D5A-E77E-4EF2-9BCE-FB214FBF0255}" sourceName="OrderDate">
  <pivotTables>
    <pivotTable tabId="3" name="Sales-Trend"/>
    <pivotTable tabId="3" name="Country Analysis"/>
    <pivotTable tabId="3" name="Customer-Analysis"/>
    <pivotTable tabId="3" name="Deal-Size"/>
    <pivotTable tabId="3" name="Kpi"/>
    <pivotTable tabId="3" name="Order Status"/>
    <pivotTable tabId="3" name="product-Analysis"/>
    <pivotTable tabId="3" name="Territory-Analysis"/>
  </pivotTables>
  <state minimalRefreshVersion="6" lastRefreshVersion="6" pivotCacheId="1725962684" filterType="unknown">
    <bounds startDate="2003-01-01T00:00:00" endDate="200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BCD9A15A-90D2-434C-A4A4-756E460C2086}" cache="NativeTimeline_OrderDate" caption="OrderDate" level="0" selectionLevel="0" scrollPosition="2003-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914FE-AB08-480A-AB3C-DEE07386CC92}">
  <sheetPr>
    <tabColor theme="9"/>
  </sheetPr>
  <dimension ref="A1:L37"/>
  <sheetViews>
    <sheetView tabSelected="1" workbookViewId="0">
      <selection activeCell="H25" sqref="H25"/>
    </sheetView>
  </sheetViews>
  <sheetFormatPr defaultRowHeight="14.4" x14ac:dyDescent="0.3"/>
  <cols>
    <col min="1" max="2" width="12.5546875" bestFit="1" customWidth="1"/>
    <col min="3" max="3" width="17.33203125" bestFit="1" customWidth="1"/>
    <col min="4" max="4" width="14.88671875" bestFit="1" customWidth="1"/>
    <col min="5" max="5" width="12.5546875" bestFit="1" customWidth="1"/>
    <col min="6" max="6" width="14.88671875" bestFit="1" customWidth="1"/>
    <col min="7" max="7" width="12.5546875" bestFit="1" customWidth="1"/>
    <col min="8" max="8" width="18.21875" bestFit="1" customWidth="1"/>
    <col min="9" max="9" width="16.6640625" bestFit="1" customWidth="1"/>
    <col min="10" max="10" width="13.6640625" bestFit="1" customWidth="1"/>
    <col min="11" max="11" width="22.5546875" bestFit="1" customWidth="1"/>
    <col min="12" max="12" width="18.21875" bestFit="1" customWidth="1"/>
  </cols>
  <sheetData>
    <row r="1" spans="1:11" x14ac:dyDescent="0.3">
      <c r="G1" s="2" t="s">
        <v>522</v>
      </c>
      <c r="H1" t="s">
        <v>516</v>
      </c>
      <c r="J1" s="2" t="s">
        <v>522</v>
      </c>
      <c r="K1" t="s">
        <v>516</v>
      </c>
    </row>
    <row r="2" spans="1:11" x14ac:dyDescent="0.3">
      <c r="G2" s="3" t="s">
        <v>36</v>
      </c>
      <c r="H2">
        <v>682622.93</v>
      </c>
      <c r="J2" s="3" t="s">
        <v>133</v>
      </c>
      <c r="K2">
        <v>385225.84</v>
      </c>
    </row>
    <row r="3" spans="1:11" x14ac:dyDescent="0.3">
      <c r="A3" t="s">
        <v>519</v>
      </c>
      <c r="B3" t="s">
        <v>518</v>
      </c>
      <c r="C3" t="s">
        <v>520</v>
      </c>
      <c r="G3" s="3" t="s">
        <v>27</v>
      </c>
      <c r="H3">
        <v>556969.97</v>
      </c>
      <c r="J3" s="3" t="s">
        <v>45</v>
      </c>
      <c r="K3">
        <v>858879.42000000016</v>
      </c>
    </row>
    <row r="4" spans="1:11" x14ac:dyDescent="0.3">
      <c r="A4" s="6">
        <v>1408665.48</v>
      </c>
      <c r="B4">
        <v>307</v>
      </c>
      <c r="C4" s="8">
        <v>10808</v>
      </c>
      <c r="G4" s="3" t="s">
        <v>85</v>
      </c>
      <c r="H4">
        <v>93500.980000000025</v>
      </c>
      <c r="J4" s="3" t="s">
        <v>30</v>
      </c>
      <c r="K4">
        <v>164560.22000000003</v>
      </c>
    </row>
    <row r="5" spans="1:11" x14ac:dyDescent="0.3">
      <c r="G5" s="3" t="s">
        <v>173</v>
      </c>
      <c r="H5">
        <v>75571.600000000006</v>
      </c>
      <c r="J5" s="3" t="s">
        <v>523</v>
      </c>
      <c r="K5">
        <v>1408665.4800000002</v>
      </c>
    </row>
    <row r="6" spans="1:11" x14ac:dyDescent="0.3">
      <c r="A6" s="2" t="s">
        <v>522</v>
      </c>
      <c r="B6" t="s">
        <v>516</v>
      </c>
      <c r="D6" s="2" t="s">
        <v>522</v>
      </c>
      <c r="E6" t="s">
        <v>516</v>
      </c>
      <c r="G6" s="3" t="s">
        <v>523</v>
      </c>
      <c r="H6">
        <v>1408665.48</v>
      </c>
    </row>
    <row r="7" spans="1:11" x14ac:dyDescent="0.3">
      <c r="A7" s="3" t="s">
        <v>443</v>
      </c>
      <c r="B7">
        <v>109979.68999999999</v>
      </c>
      <c r="D7" s="3" t="s">
        <v>26</v>
      </c>
      <c r="E7">
        <v>524383.89</v>
      </c>
    </row>
    <row r="8" spans="1:11" x14ac:dyDescent="0.3">
      <c r="A8" s="3" t="s">
        <v>526</v>
      </c>
      <c r="B8">
        <v>114294.27000000002</v>
      </c>
      <c r="D8" s="3" t="s">
        <v>35</v>
      </c>
      <c r="E8">
        <v>161203.70000000001</v>
      </c>
      <c r="G8" s="2" t="s">
        <v>522</v>
      </c>
      <c r="H8" t="s">
        <v>516</v>
      </c>
      <c r="J8" s="2" t="s">
        <v>522</v>
      </c>
      <c r="K8" t="s">
        <v>517</v>
      </c>
    </row>
    <row r="9" spans="1:11" x14ac:dyDescent="0.3">
      <c r="A9" s="3" t="s">
        <v>527</v>
      </c>
      <c r="B9">
        <v>106581.90000000002</v>
      </c>
      <c r="D9" s="3" t="s">
        <v>155</v>
      </c>
      <c r="E9">
        <v>157078.92000000001</v>
      </c>
      <c r="G9" s="3" t="s">
        <v>368</v>
      </c>
      <c r="H9">
        <v>20987.02</v>
      </c>
      <c r="J9" s="3" t="s">
        <v>279</v>
      </c>
      <c r="K9">
        <v>4</v>
      </c>
    </row>
    <row r="10" spans="1:11" x14ac:dyDescent="0.3">
      <c r="A10" s="3" t="s">
        <v>528</v>
      </c>
      <c r="B10">
        <v>112145.02999999998</v>
      </c>
      <c r="D10" s="3" t="s">
        <v>84</v>
      </c>
      <c r="E10">
        <v>78724.680000000008</v>
      </c>
      <c r="G10" s="3" t="s">
        <v>160</v>
      </c>
      <c r="H10">
        <v>21081.02</v>
      </c>
      <c r="J10" s="3" t="s">
        <v>152</v>
      </c>
      <c r="K10">
        <v>3</v>
      </c>
    </row>
    <row r="11" spans="1:11" x14ac:dyDescent="0.3">
      <c r="A11" s="3" t="s">
        <v>32</v>
      </c>
      <c r="B11">
        <v>146003.9</v>
      </c>
      <c r="D11" s="3" t="s">
        <v>148</v>
      </c>
      <c r="E11">
        <v>58880.53</v>
      </c>
      <c r="G11" s="3" t="s">
        <v>123</v>
      </c>
      <c r="H11">
        <v>22070.13</v>
      </c>
      <c r="J11" s="3" t="s">
        <v>249</v>
      </c>
      <c r="K11">
        <v>6</v>
      </c>
    </row>
    <row r="12" spans="1:11" x14ac:dyDescent="0.3">
      <c r="A12" s="3" t="s">
        <v>529</v>
      </c>
      <c r="B12">
        <v>74518.270000000019</v>
      </c>
      <c r="D12" s="3" t="s">
        <v>217</v>
      </c>
      <c r="E12">
        <v>51544.439999999995</v>
      </c>
      <c r="G12" s="3" t="s">
        <v>52</v>
      </c>
      <c r="H12">
        <v>22695.89</v>
      </c>
      <c r="J12" s="3" t="s">
        <v>327</v>
      </c>
      <c r="K12">
        <v>4</v>
      </c>
    </row>
    <row r="13" spans="1:11" x14ac:dyDescent="0.3">
      <c r="A13" s="3" t="s">
        <v>530</v>
      </c>
      <c r="B13">
        <v>76429.62</v>
      </c>
      <c r="D13" s="3" t="s">
        <v>171</v>
      </c>
      <c r="E13">
        <v>47702.18</v>
      </c>
      <c r="G13" s="3" t="s">
        <v>386</v>
      </c>
      <c r="H13">
        <v>24589.960000000003</v>
      </c>
      <c r="J13" s="3" t="s">
        <v>334</v>
      </c>
      <c r="K13">
        <v>4</v>
      </c>
    </row>
    <row r="14" spans="1:11" x14ac:dyDescent="0.3">
      <c r="A14" s="3" t="s">
        <v>531</v>
      </c>
      <c r="B14">
        <v>80698.98</v>
      </c>
      <c r="D14" s="3" t="s">
        <v>70</v>
      </c>
      <c r="E14">
        <v>41482.370000000003</v>
      </c>
      <c r="G14" s="3" t="s">
        <v>265</v>
      </c>
      <c r="H14">
        <v>27410.860000000004</v>
      </c>
      <c r="J14" s="3" t="s">
        <v>21</v>
      </c>
      <c r="K14">
        <v>286</v>
      </c>
    </row>
    <row r="15" spans="1:11" x14ac:dyDescent="0.3">
      <c r="A15" s="3" t="s">
        <v>532</v>
      </c>
      <c r="B15">
        <v>94750.5</v>
      </c>
      <c r="D15" s="3" t="s">
        <v>269</v>
      </c>
      <c r="E15">
        <v>39151.18</v>
      </c>
      <c r="G15" s="3" t="s">
        <v>324</v>
      </c>
      <c r="H15">
        <v>29276.880000000001</v>
      </c>
      <c r="J15" s="3" t="s">
        <v>523</v>
      </c>
      <c r="K15">
        <v>307</v>
      </c>
    </row>
    <row r="16" spans="1:11" x14ac:dyDescent="0.3">
      <c r="A16" s="3" t="s">
        <v>533</v>
      </c>
      <c r="B16">
        <v>156925.06999999998</v>
      </c>
      <c r="D16" s="3" t="s">
        <v>163</v>
      </c>
      <c r="E16">
        <v>36716.409999999996</v>
      </c>
      <c r="G16" s="3" t="s">
        <v>170</v>
      </c>
      <c r="H16">
        <v>32925.880000000005</v>
      </c>
    </row>
    <row r="17" spans="1:12" x14ac:dyDescent="0.3">
      <c r="A17" s="3" t="s">
        <v>534</v>
      </c>
      <c r="B17">
        <v>270092.26</v>
      </c>
      <c r="D17" s="3" t="s">
        <v>360</v>
      </c>
      <c r="E17">
        <v>35784.47</v>
      </c>
      <c r="G17" s="3" t="s">
        <v>228</v>
      </c>
      <c r="H17">
        <v>86256.62999999999</v>
      </c>
    </row>
    <row r="18" spans="1:12" x14ac:dyDescent="0.3">
      <c r="A18" s="3" t="s">
        <v>535</v>
      </c>
      <c r="B18">
        <v>66245.990000000005</v>
      </c>
      <c r="D18" s="3" t="s">
        <v>115</v>
      </c>
      <c r="E18">
        <v>33648.299999999996</v>
      </c>
      <c r="G18" s="3" t="s">
        <v>151</v>
      </c>
      <c r="H18">
        <v>108500.81000000001</v>
      </c>
    </row>
    <row r="19" spans="1:12" x14ac:dyDescent="0.3">
      <c r="A19" s="3" t="s">
        <v>523</v>
      </c>
      <c r="B19">
        <v>1408665.48</v>
      </c>
      <c r="D19" s="3" t="s">
        <v>196</v>
      </c>
      <c r="E19">
        <v>32586.080000000002</v>
      </c>
      <c r="G19" s="3" t="s">
        <v>523</v>
      </c>
      <c r="H19">
        <v>395795.08</v>
      </c>
    </row>
    <row r="20" spans="1:12" x14ac:dyDescent="0.3">
      <c r="D20" s="3" t="s">
        <v>130</v>
      </c>
      <c r="E20">
        <v>27942.6</v>
      </c>
    </row>
    <row r="21" spans="1:12" x14ac:dyDescent="0.3">
      <c r="D21" s="3" t="s">
        <v>173</v>
      </c>
      <c r="E21">
        <v>25491.37</v>
      </c>
    </row>
    <row r="22" spans="1:12" x14ac:dyDescent="0.3">
      <c r="D22" s="3" t="s">
        <v>303</v>
      </c>
      <c r="E22">
        <v>21988.67</v>
      </c>
      <c r="G22" s="3" t="s">
        <v>536</v>
      </c>
    </row>
    <row r="23" spans="1:12" x14ac:dyDescent="0.3">
      <c r="D23" s="3" t="s">
        <v>349</v>
      </c>
      <c r="E23">
        <v>17154.349999999999</v>
      </c>
      <c r="G23" s="4" t="str">
        <f>A3</f>
        <v>Total sales</v>
      </c>
      <c r="H23" s="4" t="str">
        <f>B3</f>
        <v>Total Order</v>
      </c>
      <c r="I23" s="4" t="str">
        <f>C3</f>
        <v>Total Quantity Sold</v>
      </c>
      <c r="J23" s="4" t="str">
        <f>G28</f>
        <v>Total Customer</v>
      </c>
      <c r="K23" s="4" t="s">
        <v>524</v>
      </c>
      <c r="L23" s="4" t="s">
        <v>525</v>
      </c>
    </row>
    <row r="24" spans="1:12" x14ac:dyDescent="0.3">
      <c r="D24" s="3" t="s">
        <v>391</v>
      </c>
      <c r="E24">
        <v>9251.1899999999987</v>
      </c>
      <c r="G24" s="6">
        <f>GETPIVOTDATA("Total sales",$A$3)</f>
        <v>1408665.48</v>
      </c>
      <c r="H24">
        <f>GETPIVOTDATA("Total Order",$A$3)</f>
        <v>307</v>
      </c>
      <c r="I24" s="9">
        <f>GETPIVOTDATA("Total Quantity Sold",$A$3)</f>
        <v>10808</v>
      </c>
      <c r="J24">
        <f>GETPIVOTDATA("[Measures].[Distinct Count of CUSTOMERNAME]",$G$28)</f>
        <v>92</v>
      </c>
      <c r="K24" s="8">
        <v>4588.4859999999999</v>
      </c>
      <c r="L24" s="7">
        <f>G24/I24</f>
        <v>130.33544411547001</v>
      </c>
    </row>
    <row r="25" spans="1:12" x14ac:dyDescent="0.3">
      <c r="D25" s="3" t="s">
        <v>366</v>
      </c>
      <c r="E25">
        <v>7950.15</v>
      </c>
    </row>
    <row r="26" spans="1:12" x14ac:dyDescent="0.3">
      <c r="D26" s="3" t="s">
        <v>523</v>
      </c>
      <c r="E26">
        <v>1408665.48</v>
      </c>
    </row>
    <row r="28" spans="1:12" x14ac:dyDescent="0.3">
      <c r="G28" t="s">
        <v>521</v>
      </c>
    </row>
    <row r="29" spans="1:12" x14ac:dyDescent="0.3">
      <c r="D29" s="2" t="s">
        <v>522</v>
      </c>
      <c r="E29" t="s">
        <v>516</v>
      </c>
      <c r="G29">
        <v>92</v>
      </c>
    </row>
    <row r="30" spans="1:12" x14ac:dyDescent="0.3">
      <c r="D30" s="3" t="s">
        <v>158</v>
      </c>
      <c r="E30">
        <v>862876.90000000061</v>
      </c>
    </row>
    <row r="31" spans="1:12" x14ac:dyDescent="0.3">
      <c r="D31" s="3" t="s">
        <v>444</v>
      </c>
      <c r="E31">
        <v>209343.97</v>
      </c>
    </row>
    <row r="32" spans="1:12" x14ac:dyDescent="0.3">
      <c r="D32" s="3" t="s">
        <v>22</v>
      </c>
      <c r="E32">
        <v>169340.02</v>
      </c>
    </row>
    <row r="33" spans="4:5" x14ac:dyDescent="0.3">
      <c r="D33" s="3" t="s">
        <v>457</v>
      </c>
      <c r="E33">
        <v>87578.14</v>
      </c>
    </row>
    <row r="34" spans="4:5" x14ac:dyDescent="0.3">
      <c r="D34" s="3" t="s">
        <v>407</v>
      </c>
      <c r="E34">
        <v>56311.839999999989</v>
      </c>
    </row>
    <row r="35" spans="4:5" x14ac:dyDescent="0.3">
      <c r="D35" s="3" t="s">
        <v>482</v>
      </c>
      <c r="E35">
        <v>17695.669999999998</v>
      </c>
    </row>
    <row r="36" spans="4:5" x14ac:dyDescent="0.3">
      <c r="D36" s="3" t="s">
        <v>486</v>
      </c>
      <c r="E36">
        <v>5518.94</v>
      </c>
    </row>
    <row r="37" spans="4:5" x14ac:dyDescent="0.3">
      <c r="D37" s="3" t="s">
        <v>523</v>
      </c>
      <c r="E37">
        <v>1408665.4800000004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1A00B-8643-4593-9326-C4A1573A6601}">
  <sheetPr>
    <tabColor theme="9"/>
  </sheetPr>
  <dimension ref="A1:T308"/>
  <sheetViews>
    <sheetView topLeftCell="A2" zoomScale="90" zoomScaleNormal="90" workbookViewId="0">
      <selection activeCell="F21" sqref="F21"/>
    </sheetView>
  </sheetViews>
  <sheetFormatPr defaultRowHeight="14.4" x14ac:dyDescent="0.3"/>
  <cols>
    <col min="1" max="1" width="18" bestFit="1" customWidth="1"/>
    <col min="2" max="2" width="30.77734375" bestFit="1" customWidth="1"/>
    <col min="3" max="3" width="13" style="1" bestFit="1" customWidth="1"/>
    <col min="4" max="4" width="15.21875" bestFit="1" customWidth="1"/>
    <col min="5" max="5" width="10.109375" bestFit="1" customWidth="1"/>
    <col min="6" max="6" width="21.5546875" bestFit="1" customWidth="1"/>
    <col min="7" max="7" width="13.33203125" bestFit="1" customWidth="1"/>
    <col min="8" max="8" width="8.88671875" bestFit="1" customWidth="1"/>
    <col min="9" max="9" width="22" bestFit="1" customWidth="1"/>
    <col min="10" max="10" width="16" bestFit="1" customWidth="1"/>
    <col min="11" max="11" width="8.77734375" bestFit="1" customWidth="1"/>
    <col min="12" max="12" width="17.21875" bestFit="1" customWidth="1"/>
    <col min="13" max="13" width="14.109375" bestFit="1" customWidth="1"/>
    <col min="14" max="14" width="15.21875" bestFit="1" customWidth="1"/>
    <col min="15" max="15" width="12.21875" bestFit="1" customWidth="1"/>
    <col min="16" max="16" width="13.44140625" bestFit="1" customWidth="1"/>
    <col min="17" max="17" width="21.5546875" bestFit="1" customWidth="1"/>
    <col min="18" max="18" width="22.33203125" bestFit="1" customWidth="1"/>
    <col min="19" max="19" width="11.5546875" bestFit="1" customWidth="1"/>
    <col min="20" max="20" width="21.5546875" bestFit="1" customWidth="1"/>
  </cols>
  <sheetData>
    <row r="1" spans="1:20"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515</v>
      </c>
    </row>
    <row r="2" spans="1:20" x14ac:dyDescent="0.3">
      <c r="A2">
        <v>10107</v>
      </c>
      <c r="B2" t="s">
        <v>19</v>
      </c>
      <c r="C2" s="1">
        <v>37676</v>
      </c>
      <c r="D2" t="s">
        <v>20</v>
      </c>
      <c r="E2" t="s">
        <v>21</v>
      </c>
      <c r="F2">
        <v>30</v>
      </c>
      <c r="G2">
        <v>95.7</v>
      </c>
      <c r="H2">
        <v>2871</v>
      </c>
      <c r="I2">
        <v>2</v>
      </c>
      <c r="J2" t="s">
        <v>22</v>
      </c>
      <c r="K2">
        <v>95</v>
      </c>
      <c r="L2" t="s">
        <v>23</v>
      </c>
      <c r="M2" t="s">
        <v>24</v>
      </c>
      <c r="N2" t="s">
        <v>25</v>
      </c>
      <c r="O2" t="s">
        <v>26</v>
      </c>
      <c r="P2" t="s">
        <v>27</v>
      </c>
      <c r="Q2" t="s">
        <v>28</v>
      </c>
      <c r="R2" t="s">
        <v>29</v>
      </c>
      <c r="S2" t="s">
        <v>30</v>
      </c>
      <c r="T2" t="str">
        <f>_xlfn.CONCAT(sales_data_sample[[#This Row],[CONTACTLASTNAME]]," ",sales_data_sample[[#This Row],[CONTACTFIRSTNAME]])</f>
        <v>Yu Kwai</v>
      </c>
    </row>
    <row r="3" spans="1:20" x14ac:dyDescent="0.3">
      <c r="A3">
        <v>10121</v>
      </c>
      <c r="B3" t="s">
        <v>31</v>
      </c>
      <c r="C3" s="1">
        <v>37748</v>
      </c>
      <c r="D3" t="s">
        <v>32</v>
      </c>
      <c r="E3" t="s">
        <v>21</v>
      </c>
      <c r="F3">
        <v>34</v>
      </c>
      <c r="G3">
        <v>81.349999999999994</v>
      </c>
      <c r="H3">
        <v>2765.9</v>
      </c>
      <c r="I3">
        <v>5</v>
      </c>
      <c r="J3" t="s">
        <v>22</v>
      </c>
      <c r="K3">
        <v>95</v>
      </c>
      <c r="L3" t="s">
        <v>23</v>
      </c>
      <c r="M3" t="s">
        <v>33</v>
      </c>
      <c r="N3" t="s">
        <v>34</v>
      </c>
      <c r="O3" t="s">
        <v>35</v>
      </c>
      <c r="P3" t="s">
        <v>36</v>
      </c>
      <c r="Q3" t="s">
        <v>37</v>
      </c>
      <c r="R3" t="s">
        <v>38</v>
      </c>
      <c r="S3" t="s">
        <v>30</v>
      </c>
      <c r="T3" t="str">
        <f>_xlfn.CONCAT(sales_data_sample[[#This Row],[CONTACTLASTNAME]]," ",sales_data_sample[[#This Row],[CONTACTFIRSTNAME]])</f>
        <v>Henriot Paul</v>
      </c>
    </row>
    <row r="4" spans="1:20" x14ac:dyDescent="0.3">
      <c r="A4">
        <v>10134</v>
      </c>
      <c r="B4" t="s">
        <v>39</v>
      </c>
      <c r="C4" s="1">
        <v>37803</v>
      </c>
      <c r="D4" t="s">
        <v>40</v>
      </c>
      <c r="E4" t="s">
        <v>21</v>
      </c>
      <c r="F4">
        <v>41</v>
      </c>
      <c r="G4">
        <v>94.74</v>
      </c>
      <c r="H4">
        <v>3884.34</v>
      </c>
      <c r="I4">
        <v>2</v>
      </c>
      <c r="J4" t="s">
        <v>22</v>
      </c>
      <c r="K4">
        <v>95</v>
      </c>
      <c r="L4" t="s">
        <v>23</v>
      </c>
      <c r="M4" t="s">
        <v>41</v>
      </c>
      <c r="N4" t="s">
        <v>42</v>
      </c>
      <c r="O4" t="s">
        <v>35</v>
      </c>
      <c r="P4" t="s">
        <v>36</v>
      </c>
      <c r="Q4" t="s">
        <v>43</v>
      </c>
      <c r="R4" t="s">
        <v>44</v>
      </c>
      <c r="S4" t="s">
        <v>45</v>
      </c>
      <c r="T4" t="str">
        <f>_xlfn.CONCAT(sales_data_sample[[#This Row],[CONTACTLASTNAME]]," ",sales_data_sample[[#This Row],[CONTACTFIRSTNAME]])</f>
        <v>Da Cunha Daniel</v>
      </c>
    </row>
    <row r="5" spans="1:20" x14ac:dyDescent="0.3">
      <c r="A5">
        <v>10145</v>
      </c>
      <c r="B5" t="s">
        <v>46</v>
      </c>
      <c r="C5" s="1">
        <v>37858</v>
      </c>
      <c r="D5" t="s">
        <v>47</v>
      </c>
      <c r="E5" t="s">
        <v>21</v>
      </c>
      <c r="F5">
        <v>45</v>
      </c>
      <c r="G5">
        <v>83.26</v>
      </c>
      <c r="H5">
        <v>3746.7</v>
      </c>
      <c r="I5">
        <v>6</v>
      </c>
      <c r="J5" t="s">
        <v>22</v>
      </c>
      <c r="K5">
        <v>95</v>
      </c>
      <c r="L5" t="s">
        <v>23</v>
      </c>
      <c r="M5" t="s">
        <v>48</v>
      </c>
      <c r="N5" t="s">
        <v>49</v>
      </c>
      <c r="O5" t="s">
        <v>26</v>
      </c>
      <c r="P5" t="s">
        <v>27</v>
      </c>
      <c r="Q5" t="s">
        <v>50</v>
      </c>
      <c r="R5" t="s">
        <v>51</v>
      </c>
      <c r="S5" t="s">
        <v>45</v>
      </c>
      <c r="T5" t="str">
        <f>_xlfn.CONCAT(sales_data_sample[[#This Row],[CONTACTLASTNAME]]," ",sales_data_sample[[#This Row],[CONTACTFIRSTNAME]])</f>
        <v>Young Julie</v>
      </c>
    </row>
    <row r="6" spans="1:20" x14ac:dyDescent="0.3">
      <c r="A6">
        <v>10159</v>
      </c>
      <c r="B6" t="s">
        <v>52</v>
      </c>
      <c r="C6" s="1">
        <v>37904</v>
      </c>
      <c r="D6" t="s">
        <v>53</v>
      </c>
      <c r="E6" t="s">
        <v>21</v>
      </c>
      <c r="F6">
        <v>49</v>
      </c>
      <c r="G6">
        <v>100</v>
      </c>
      <c r="H6">
        <v>5205.2700000000004</v>
      </c>
      <c r="I6">
        <v>14</v>
      </c>
      <c r="J6" t="s">
        <v>22</v>
      </c>
      <c r="K6">
        <v>95</v>
      </c>
      <c r="L6" t="s">
        <v>23</v>
      </c>
      <c r="M6" t="s">
        <v>54</v>
      </c>
      <c r="N6" t="s">
        <v>27</v>
      </c>
      <c r="O6" t="s">
        <v>26</v>
      </c>
      <c r="P6" t="s">
        <v>27</v>
      </c>
      <c r="Q6" t="s">
        <v>55</v>
      </c>
      <c r="R6" t="s">
        <v>51</v>
      </c>
      <c r="S6" t="s">
        <v>45</v>
      </c>
      <c r="T6" t="str">
        <f>_xlfn.CONCAT(sales_data_sample[[#This Row],[CONTACTLASTNAME]]," ",sales_data_sample[[#This Row],[CONTACTFIRSTNAME]])</f>
        <v>Brown Julie</v>
      </c>
    </row>
    <row r="7" spans="1:20" x14ac:dyDescent="0.3">
      <c r="A7">
        <v>10168</v>
      </c>
      <c r="B7" t="s">
        <v>56</v>
      </c>
      <c r="C7" s="1">
        <v>37922</v>
      </c>
      <c r="D7" t="s">
        <v>53</v>
      </c>
      <c r="E7" t="s">
        <v>21</v>
      </c>
      <c r="F7">
        <v>36</v>
      </c>
      <c r="G7">
        <v>96.66</v>
      </c>
      <c r="H7">
        <v>3479.76</v>
      </c>
      <c r="I7">
        <v>1</v>
      </c>
      <c r="J7" t="s">
        <v>22</v>
      </c>
      <c r="K7">
        <v>95</v>
      </c>
      <c r="L7" t="s">
        <v>23</v>
      </c>
      <c r="M7" t="s">
        <v>57</v>
      </c>
      <c r="N7" t="s">
        <v>58</v>
      </c>
      <c r="O7" t="s">
        <v>26</v>
      </c>
      <c r="P7" t="s">
        <v>27</v>
      </c>
      <c r="Q7" t="s">
        <v>59</v>
      </c>
      <c r="R7" t="s">
        <v>60</v>
      </c>
      <c r="S7" t="s">
        <v>45</v>
      </c>
      <c r="T7" t="str">
        <f>_xlfn.CONCAT(sales_data_sample[[#This Row],[CONTACTLASTNAME]]," ",sales_data_sample[[#This Row],[CONTACTFIRSTNAME]])</f>
        <v>Hirano Juri</v>
      </c>
    </row>
    <row r="8" spans="1:20" x14ac:dyDescent="0.3">
      <c r="A8">
        <v>10180</v>
      </c>
      <c r="B8" t="s">
        <v>61</v>
      </c>
      <c r="C8" s="1">
        <v>37936</v>
      </c>
      <c r="D8" t="s">
        <v>62</v>
      </c>
      <c r="E8" t="s">
        <v>21</v>
      </c>
      <c r="F8">
        <v>29</v>
      </c>
      <c r="G8">
        <v>86.13</v>
      </c>
      <c r="H8">
        <v>2497.77</v>
      </c>
      <c r="I8">
        <v>9</v>
      </c>
      <c r="J8" t="s">
        <v>22</v>
      </c>
      <c r="K8">
        <v>95</v>
      </c>
      <c r="L8" t="s">
        <v>23</v>
      </c>
      <c r="M8" t="s">
        <v>63</v>
      </c>
      <c r="N8" t="s">
        <v>64</v>
      </c>
      <c r="O8" t="s">
        <v>35</v>
      </c>
      <c r="P8" t="s">
        <v>36</v>
      </c>
      <c r="Q8" t="s">
        <v>65</v>
      </c>
      <c r="R8" t="s">
        <v>66</v>
      </c>
      <c r="S8" t="s">
        <v>30</v>
      </c>
      <c r="T8" t="str">
        <f>_xlfn.CONCAT(sales_data_sample[[#This Row],[CONTACTLASTNAME]]," ",sales_data_sample[[#This Row],[CONTACTFIRSTNAME]])</f>
        <v>Rance Martine</v>
      </c>
    </row>
    <row r="9" spans="1:20" x14ac:dyDescent="0.3">
      <c r="A9">
        <v>10188</v>
      </c>
      <c r="B9" t="s">
        <v>67</v>
      </c>
      <c r="C9" s="1">
        <v>37943</v>
      </c>
      <c r="D9" t="s">
        <v>62</v>
      </c>
      <c r="E9" t="s">
        <v>21</v>
      </c>
      <c r="F9">
        <v>48</v>
      </c>
      <c r="G9">
        <v>100</v>
      </c>
      <c r="H9">
        <v>5512.32</v>
      </c>
      <c r="I9">
        <v>1</v>
      </c>
      <c r="J9" t="s">
        <v>22</v>
      </c>
      <c r="K9">
        <v>95</v>
      </c>
      <c r="L9" t="s">
        <v>23</v>
      </c>
      <c r="M9" t="s">
        <v>68</v>
      </c>
      <c r="N9" t="s">
        <v>69</v>
      </c>
      <c r="O9" t="s">
        <v>70</v>
      </c>
      <c r="P9" t="s">
        <v>36</v>
      </c>
      <c r="Q9" t="s">
        <v>71</v>
      </c>
      <c r="R9" t="s">
        <v>72</v>
      </c>
      <c r="S9" t="s">
        <v>45</v>
      </c>
      <c r="T9" t="str">
        <f>_xlfn.CONCAT(sales_data_sample[[#This Row],[CONTACTLASTNAME]]," ",sales_data_sample[[#This Row],[CONTACTFIRSTNAME]])</f>
        <v>Oeztan Veysel</v>
      </c>
    </row>
    <row r="10" spans="1:20" x14ac:dyDescent="0.3">
      <c r="A10">
        <v>10201</v>
      </c>
      <c r="B10" t="s">
        <v>73</v>
      </c>
      <c r="C10" s="1">
        <v>37956</v>
      </c>
      <c r="D10" t="s">
        <v>74</v>
      </c>
      <c r="E10" t="s">
        <v>21</v>
      </c>
      <c r="F10">
        <v>22</v>
      </c>
      <c r="G10">
        <v>98.57</v>
      </c>
      <c r="H10">
        <v>2168.54</v>
      </c>
      <c r="I10">
        <v>2</v>
      </c>
      <c r="J10" t="s">
        <v>22</v>
      </c>
      <c r="K10">
        <v>95</v>
      </c>
      <c r="L10" t="s">
        <v>23</v>
      </c>
      <c r="M10" t="s">
        <v>54</v>
      </c>
      <c r="N10" t="s">
        <v>27</v>
      </c>
      <c r="O10" t="s">
        <v>26</v>
      </c>
      <c r="P10" t="s">
        <v>27</v>
      </c>
      <c r="Q10" t="s">
        <v>75</v>
      </c>
      <c r="R10" t="s">
        <v>51</v>
      </c>
      <c r="S10" t="s">
        <v>30</v>
      </c>
      <c r="T10" t="str">
        <f>_xlfn.CONCAT(sales_data_sample[[#This Row],[CONTACTLASTNAME]]," ",sales_data_sample[[#This Row],[CONTACTFIRSTNAME]])</f>
        <v>Murphy Julie</v>
      </c>
    </row>
    <row r="11" spans="1:20" x14ac:dyDescent="0.3">
      <c r="A11">
        <v>10211</v>
      </c>
      <c r="B11" t="s">
        <v>76</v>
      </c>
      <c r="C11" s="1">
        <v>38001</v>
      </c>
      <c r="D11" t="s">
        <v>77</v>
      </c>
      <c r="E11" t="s">
        <v>21</v>
      </c>
      <c r="F11">
        <v>41</v>
      </c>
      <c r="G11">
        <v>100</v>
      </c>
      <c r="H11">
        <v>4708.4399999999996</v>
      </c>
      <c r="I11">
        <v>14</v>
      </c>
      <c r="J11" t="s">
        <v>22</v>
      </c>
      <c r="K11">
        <v>95</v>
      </c>
      <c r="L11" t="s">
        <v>23</v>
      </c>
      <c r="M11" t="s">
        <v>41</v>
      </c>
      <c r="N11" t="s">
        <v>78</v>
      </c>
      <c r="O11" t="s">
        <v>35</v>
      </c>
      <c r="P11" t="s">
        <v>36</v>
      </c>
      <c r="Q11" t="s">
        <v>79</v>
      </c>
      <c r="R11" t="s">
        <v>80</v>
      </c>
      <c r="S11" t="s">
        <v>45</v>
      </c>
      <c r="T11" t="str">
        <f>_xlfn.CONCAT(sales_data_sample[[#This Row],[CONTACTLASTNAME]]," ",sales_data_sample[[#This Row],[CONTACTFIRSTNAME]])</f>
        <v>Perrier Dominique</v>
      </c>
    </row>
    <row r="12" spans="1:20" x14ac:dyDescent="0.3">
      <c r="A12">
        <v>10223</v>
      </c>
      <c r="B12" t="s">
        <v>81</v>
      </c>
      <c r="C12" s="1">
        <v>38037</v>
      </c>
      <c r="D12" t="s">
        <v>20</v>
      </c>
      <c r="E12" t="s">
        <v>21</v>
      </c>
      <c r="F12">
        <v>37</v>
      </c>
      <c r="G12">
        <v>100</v>
      </c>
      <c r="H12">
        <v>3965.66</v>
      </c>
      <c r="I12">
        <v>1</v>
      </c>
      <c r="J12" t="s">
        <v>22</v>
      </c>
      <c r="K12">
        <v>95</v>
      </c>
      <c r="L12" t="s">
        <v>23</v>
      </c>
      <c r="M12" t="s">
        <v>82</v>
      </c>
      <c r="N12" t="s">
        <v>83</v>
      </c>
      <c r="O12" t="s">
        <v>84</v>
      </c>
      <c r="P12" t="s">
        <v>85</v>
      </c>
      <c r="Q12" t="s">
        <v>86</v>
      </c>
      <c r="R12" t="s">
        <v>87</v>
      </c>
      <c r="S12" t="s">
        <v>45</v>
      </c>
      <c r="T12" t="str">
        <f>_xlfn.CONCAT(sales_data_sample[[#This Row],[CONTACTLASTNAME]]," ",sales_data_sample[[#This Row],[CONTACTFIRSTNAME]])</f>
        <v>Ferguson Peter</v>
      </c>
    </row>
    <row r="13" spans="1:20" x14ac:dyDescent="0.3">
      <c r="A13">
        <v>10237</v>
      </c>
      <c r="B13" t="s">
        <v>88</v>
      </c>
      <c r="C13" s="1">
        <v>38082</v>
      </c>
      <c r="D13" t="s">
        <v>89</v>
      </c>
      <c r="E13" t="s">
        <v>21</v>
      </c>
      <c r="F13">
        <v>23</v>
      </c>
      <c r="G13">
        <v>100</v>
      </c>
      <c r="H13">
        <v>2333.12</v>
      </c>
      <c r="I13">
        <v>7</v>
      </c>
      <c r="J13" t="s">
        <v>22</v>
      </c>
      <c r="K13">
        <v>95</v>
      </c>
      <c r="L13" t="s">
        <v>23</v>
      </c>
      <c r="M13" t="s">
        <v>24</v>
      </c>
      <c r="N13" t="s">
        <v>25</v>
      </c>
      <c r="O13" t="s">
        <v>26</v>
      </c>
      <c r="P13" t="s">
        <v>27</v>
      </c>
      <c r="Q13" t="s">
        <v>90</v>
      </c>
      <c r="R13" t="s">
        <v>91</v>
      </c>
      <c r="S13" t="s">
        <v>30</v>
      </c>
      <c r="T13" t="str">
        <f>_xlfn.CONCAT(sales_data_sample[[#This Row],[CONTACTLASTNAME]]," ",sales_data_sample[[#This Row],[CONTACTFIRSTNAME]])</f>
        <v>Frick Michael</v>
      </c>
    </row>
    <row r="14" spans="1:20" x14ac:dyDescent="0.3">
      <c r="A14">
        <v>10251</v>
      </c>
      <c r="B14" t="s">
        <v>92</v>
      </c>
      <c r="C14" s="1">
        <v>38125</v>
      </c>
      <c r="D14" t="s">
        <v>32</v>
      </c>
      <c r="E14" t="s">
        <v>21</v>
      </c>
      <c r="F14">
        <v>28</v>
      </c>
      <c r="G14">
        <v>100</v>
      </c>
      <c r="H14">
        <v>3188.64</v>
      </c>
      <c r="I14">
        <v>2</v>
      </c>
      <c r="J14" t="s">
        <v>22</v>
      </c>
      <c r="K14">
        <v>95</v>
      </c>
      <c r="L14" t="s">
        <v>23</v>
      </c>
      <c r="M14" t="s">
        <v>93</v>
      </c>
      <c r="N14" t="s">
        <v>94</v>
      </c>
      <c r="O14" t="s">
        <v>26</v>
      </c>
      <c r="P14" t="s">
        <v>27</v>
      </c>
      <c r="Q14" t="s">
        <v>55</v>
      </c>
      <c r="R14" t="s">
        <v>95</v>
      </c>
      <c r="S14" t="s">
        <v>45</v>
      </c>
      <c r="T14" t="str">
        <f>_xlfn.CONCAT(sales_data_sample[[#This Row],[CONTACTLASTNAME]]," ",sales_data_sample[[#This Row],[CONTACTFIRSTNAME]])</f>
        <v>Brown William</v>
      </c>
    </row>
    <row r="15" spans="1:20" x14ac:dyDescent="0.3">
      <c r="A15">
        <v>10263</v>
      </c>
      <c r="B15" t="s">
        <v>96</v>
      </c>
      <c r="C15" s="1">
        <v>38166</v>
      </c>
      <c r="D15" t="s">
        <v>97</v>
      </c>
      <c r="E15" t="s">
        <v>21</v>
      </c>
      <c r="F15">
        <v>34</v>
      </c>
      <c r="G15">
        <v>100</v>
      </c>
      <c r="H15">
        <v>3676.76</v>
      </c>
      <c r="I15">
        <v>2</v>
      </c>
      <c r="J15" t="s">
        <v>22</v>
      </c>
      <c r="K15">
        <v>95</v>
      </c>
      <c r="L15" t="s">
        <v>23</v>
      </c>
      <c r="M15" t="s">
        <v>98</v>
      </c>
      <c r="N15" t="s">
        <v>99</v>
      </c>
      <c r="O15" t="s">
        <v>26</v>
      </c>
      <c r="P15" t="s">
        <v>27</v>
      </c>
      <c r="Q15" t="s">
        <v>100</v>
      </c>
      <c r="R15" t="s">
        <v>51</v>
      </c>
      <c r="S15" t="s">
        <v>45</v>
      </c>
      <c r="T15" t="str">
        <f>_xlfn.CONCAT(sales_data_sample[[#This Row],[CONTACTLASTNAME]]," ",sales_data_sample[[#This Row],[CONTACTFIRSTNAME]])</f>
        <v>King Julie</v>
      </c>
    </row>
    <row r="16" spans="1:20" x14ac:dyDescent="0.3">
      <c r="A16">
        <v>10275</v>
      </c>
      <c r="B16" t="s">
        <v>101</v>
      </c>
      <c r="C16" s="1">
        <v>38191</v>
      </c>
      <c r="D16" t="s">
        <v>40</v>
      </c>
      <c r="E16" t="s">
        <v>21</v>
      </c>
      <c r="F16">
        <v>45</v>
      </c>
      <c r="G16">
        <v>92.83</v>
      </c>
      <c r="H16">
        <v>4177.3500000000004</v>
      </c>
      <c r="I16">
        <v>1</v>
      </c>
      <c r="J16" t="s">
        <v>22</v>
      </c>
      <c r="K16">
        <v>95</v>
      </c>
      <c r="L16" t="s">
        <v>23</v>
      </c>
      <c r="M16" t="s">
        <v>102</v>
      </c>
      <c r="N16" t="s">
        <v>103</v>
      </c>
      <c r="O16" t="s">
        <v>35</v>
      </c>
      <c r="P16" t="s">
        <v>36</v>
      </c>
      <c r="Q16" t="s">
        <v>104</v>
      </c>
      <c r="R16" t="s">
        <v>105</v>
      </c>
      <c r="S16" t="s">
        <v>45</v>
      </c>
      <c r="T16" t="str">
        <f>_xlfn.CONCAT(sales_data_sample[[#This Row],[CONTACTLASTNAME]]," ",sales_data_sample[[#This Row],[CONTACTFIRSTNAME]])</f>
        <v>Labrune Janine</v>
      </c>
    </row>
    <row r="17" spans="1:20" x14ac:dyDescent="0.3">
      <c r="A17">
        <v>10285</v>
      </c>
      <c r="B17" t="s">
        <v>106</v>
      </c>
      <c r="C17" s="1">
        <v>38226</v>
      </c>
      <c r="D17" t="s">
        <v>47</v>
      </c>
      <c r="E17" t="s">
        <v>21</v>
      </c>
      <c r="F17">
        <v>36</v>
      </c>
      <c r="G17">
        <v>100</v>
      </c>
      <c r="H17">
        <v>4099.68</v>
      </c>
      <c r="I17">
        <v>6</v>
      </c>
      <c r="J17" t="s">
        <v>22</v>
      </c>
      <c r="K17">
        <v>95</v>
      </c>
      <c r="L17" t="s">
        <v>23</v>
      </c>
      <c r="M17" t="s">
        <v>107</v>
      </c>
      <c r="N17" t="s">
        <v>108</v>
      </c>
      <c r="O17" t="s">
        <v>26</v>
      </c>
      <c r="P17" t="s">
        <v>27</v>
      </c>
      <c r="Q17" t="s">
        <v>109</v>
      </c>
      <c r="R17" t="s">
        <v>110</v>
      </c>
      <c r="S17" t="s">
        <v>45</v>
      </c>
      <c r="T17" t="str">
        <f>_xlfn.CONCAT(sales_data_sample[[#This Row],[CONTACTLASTNAME]]," ",sales_data_sample[[#This Row],[CONTACTFIRSTNAME]])</f>
        <v>Hernandez Marta</v>
      </c>
    </row>
    <row r="18" spans="1:20" x14ac:dyDescent="0.3">
      <c r="A18">
        <v>10299</v>
      </c>
      <c r="B18" t="s">
        <v>111</v>
      </c>
      <c r="C18" s="1">
        <v>38260</v>
      </c>
      <c r="D18" t="s">
        <v>112</v>
      </c>
      <c r="E18" t="s">
        <v>21</v>
      </c>
      <c r="F18">
        <v>23</v>
      </c>
      <c r="G18">
        <v>100</v>
      </c>
      <c r="H18">
        <v>2597.39</v>
      </c>
      <c r="I18">
        <v>9</v>
      </c>
      <c r="J18" t="s">
        <v>22</v>
      </c>
      <c r="K18">
        <v>95</v>
      </c>
      <c r="L18" t="s">
        <v>23</v>
      </c>
      <c r="M18" t="s">
        <v>113</v>
      </c>
      <c r="N18" t="s">
        <v>114</v>
      </c>
      <c r="O18" t="s">
        <v>115</v>
      </c>
      <c r="P18" t="s">
        <v>36</v>
      </c>
      <c r="Q18" t="s">
        <v>116</v>
      </c>
      <c r="R18" t="s">
        <v>117</v>
      </c>
      <c r="S18" t="s">
        <v>30</v>
      </c>
      <c r="T18" t="str">
        <f>_xlfn.CONCAT(sales_data_sample[[#This Row],[CONTACTLASTNAME]]," ",sales_data_sample[[#This Row],[CONTACTFIRSTNAME]])</f>
        <v>Karttunen Matti</v>
      </c>
    </row>
    <row r="19" spans="1:20" x14ac:dyDescent="0.3">
      <c r="A19">
        <v>10309</v>
      </c>
      <c r="B19" t="s">
        <v>118</v>
      </c>
      <c r="C19" s="1">
        <v>38275</v>
      </c>
      <c r="D19" t="s">
        <v>53</v>
      </c>
      <c r="E19" t="s">
        <v>21</v>
      </c>
      <c r="F19">
        <v>41</v>
      </c>
      <c r="G19">
        <v>100</v>
      </c>
      <c r="H19">
        <v>4394.38</v>
      </c>
      <c r="I19">
        <v>5</v>
      </c>
      <c r="J19" t="s">
        <v>22</v>
      </c>
      <c r="K19">
        <v>95</v>
      </c>
      <c r="L19" t="s">
        <v>23</v>
      </c>
      <c r="M19" t="s">
        <v>119</v>
      </c>
      <c r="N19" t="s">
        <v>120</v>
      </c>
      <c r="O19" t="s">
        <v>70</v>
      </c>
      <c r="P19" t="s">
        <v>36</v>
      </c>
      <c r="Q19" t="s">
        <v>121</v>
      </c>
      <c r="R19" t="s">
        <v>122</v>
      </c>
      <c r="S19" t="s">
        <v>45</v>
      </c>
      <c r="T19" t="str">
        <f>_xlfn.CONCAT(sales_data_sample[[#This Row],[CONTACTLASTNAME]]," ",sales_data_sample[[#This Row],[CONTACTFIRSTNAME]])</f>
        <v>Bergulfsen Jonas</v>
      </c>
    </row>
    <row r="20" spans="1:20" x14ac:dyDescent="0.3">
      <c r="A20">
        <v>10318</v>
      </c>
      <c r="B20" t="s">
        <v>123</v>
      </c>
      <c r="C20" s="1">
        <v>38293</v>
      </c>
      <c r="D20" t="s">
        <v>62</v>
      </c>
      <c r="E20" t="s">
        <v>21</v>
      </c>
      <c r="F20">
        <v>46</v>
      </c>
      <c r="G20">
        <v>94.74</v>
      </c>
      <c r="H20">
        <v>4358.04</v>
      </c>
      <c r="I20">
        <v>1</v>
      </c>
      <c r="J20" t="s">
        <v>22</v>
      </c>
      <c r="K20">
        <v>95</v>
      </c>
      <c r="L20" t="s">
        <v>23</v>
      </c>
      <c r="M20" t="s">
        <v>124</v>
      </c>
      <c r="N20" t="s">
        <v>125</v>
      </c>
      <c r="O20" t="s">
        <v>26</v>
      </c>
      <c r="P20" t="s">
        <v>27</v>
      </c>
      <c r="Q20" t="s">
        <v>28</v>
      </c>
      <c r="R20" t="s">
        <v>126</v>
      </c>
      <c r="S20" t="s">
        <v>45</v>
      </c>
      <c r="T20" t="str">
        <f>_xlfn.CONCAT(sales_data_sample[[#This Row],[CONTACTLASTNAME]]," ",sales_data_sample[[#This Row],[CONTACTFIRSTNAME]])</f>
        <v>Yu Kyung</v>
      </c>
    </row>
    <row r="21" spans="1:20" x14ac:dyDescent="0.3">
      <c r="A21">
        <v>10329</v>
      </c>
      <c r="B21" t="s">
        <v>19</v>
      </c>
      <c r="C21" s="1">
        <v>38306</v>
      </c>
      <c r="D21" t="s">
        <v>62</v>
      </c>
      <c r="E21" t="s">
        <v>21</v>
      </c>
      <c r="F21">
        <v>42</v>
      </c>
      <c r="G21">
        <v>100</v>
      </c>
      <c r="H21">
        <v>4396.1400000000003</v>
      </c>
      <c r="I21">
        <v>1</v>
      </c>
      <c r="J21" t="s">
        <v>22</v>
      </c>
      <c r="K21">
        <v>95</v>
      </c>
      <c r="L21" t="s">
        <v>23</v>
      </c>
      <c r="M21" t="s">
        <v>24</v>
      </c>
      <c r="N21" t="s">
        <v>25</v>
      </c>
      <c r="O21" t="s">
        <v>26</v>
      </c>
      <c r="P21" t="s">
        <v>27</v>
      </c>
      <c r="Q21" t="s">
        <v>28</v>
      </c>
      <c r="R21" t="s">
        <v>29</v>
      </c>
      <c r="S21" t="s">
        <v>45</v>
      </c>
      <c r="T21" t="str">
        <f>_xlfn.CONCAT(sales_data_sample[[#This Row],[CONTACTLASTNAME]]," ",sales_data_sample[[#This Row],[CONTACTFIRSTNAME]])</f>
        <v>Yu Kwai</v>
      </c>
    </row>
    <row r="22" spans="1:20" x14ac:dyDescent="0.3">
      <c r="A22">
        <v>10341</v>
      </c>
      <c r="B22" t="s">
        <v>127</v>
      </c>
      <c r="C22" s="1">
        <v>38315</v>
      </c>
      <c r="D22" t="s">
        <v>62</v>
      </c>
      <c r="E22" t="s">
        <v>21</v>
      </c>
      <c r="F22">
        <v>41</v>
      </c>
      <c r="G22">
        <v>100</v>
      </c>
      <c r="H22">
        <v>7737.93</v>
      </c>
      <c r="I22">
        <v>9</v>
      </c>
      <c r="J22" t="s">
        <v>22</v>
      </c>
      <c r="K22">
        <v>95</v>
      </c>
      <c r="L22" t="s">
        <v>23</v>
      </c>
      <c r="M22" t="s">
        <v>128</v>
      </c>
      <c r="N22" t="s">
        <v>129</v>
      </c>
      <c r="O22" t="s">
        <v>130</v>
      </c>
      <c r="P22" t="s">
        <v>36</v>
      </c>
      <c r="Q22" t="s">
        <v>131</v>
      </c>
      <c r="R22" t="s">
        <v>132</v>
      </c>
      <c r="S22" t="s">
        <v>133</v>
      </c>
      <c r="T22" t="str">
        <f>_xlfn.CONCAT(sales_data_sample[[#This Row],[CONTACTLASTNAME]]," ",sales_data_sample[[#This Row],[CONTACTFIRSTNAME]])</f>
        <v>Pipps Georg</v>
      </c>
    </row>
    <row r="23" spans="1:20" x14ac:dyDescent="0.3">
      <c r="A23">
        <v>10361</v>
      </c>
      <c r="B23" t="s">
        <v>134</v>
      </c>
      <c r="C23" s="1">
        <v>38338</v>
      </c>
      <c r="D23" t="s">
        <v>74</v>
      </c>
      <c r="E23" t="s">
        <v>21</v>
      </c>
      <c r="F23">
        <v>20</v>
      </c>
      <c r="G23">
        <v>72.55</v>
      </c>
      <c r="H23">
        <v>1451</v>
      </c>
      <c r="I23">
        <v>13</v>
      </c>
      <c r="J23" t="s">
        <v>22</v>
      </c>
      <c r="K23">
        <v>95</v>
      </c>
      <c r="L23" t="s">
        <v>23</v>
      </c>
      <c r="M23" t="s">
        <v>135</v>
      </c>
      <c r="N23" t="s">
        <v>136</v>
      </c>
      <c r="O23" t="s">
        <v>84</v>
      </c>
      <c r="P23" t="s">
        <v>85</v>
      </c>
      <c r="Q23" t="s">
        <v>137</v>
      </c>
      <c r="R23" t="s">
        <v>138</v>
      </c>
      <c r="S23" t="s">
        <v>30</v>
      </c>
      <c r="T23" t="str">
        <f>_xlfn.CONCAT(sales_data_sample[[#This Row],[CONTACTLASTNAME]]," ",sales_data_sample[[#This Row],[CONTACTFIRSTNAME]])</f>
        <v>Huxley Adrian</v>
      </c>
    </row>
    <row r="24" spans="1:20" x14ac:dyDescent="0.3">
      <c r="A24">
        <v>10375</v>
      </c>
      <c r="B24" t="s">
        <v>101</v>
      </c>
      <c r="C24" s="1">
        <v>38386</v>
      </c>
      <c r="D24" t="s">
        <v>20</v>
      </c>
      <c r="E24" t="s">
        <v>21</v>
      </c>
      <c r="F24">
        <v>21</v>
      </c>
      <c r="G24">
        <v>34.909999999999997</v>
      </c>
      <c r="H24">
        <v>733.11</v>
      </c>
      <c r="I24">
        <v>12</v>
      </c>
      <c r="J24" t="s">
        <v>22</v>
      </c>
      <c r="K24">
        <v>95</v>
      </c>
      <c r="L24" t="s">
        <v>23</v>
      </c>
      <c r="M24" t="s">
        <v>102</v>
      </c>
      <c r="N24" t="s">
        <v>103</v>
      </c>
      <c r="O24" t="s">
        <v>35</v>
      </c>
      <c r="P24" t="s">
        <v>36</v>
      </c>
      <c r="Q24" t="s">
        <v>104</v>
      </c>
      <c r="R24" t="s">
        <v>105</v>
      </c>
      <c r="S24" t="s">
        <v>30</v>
      </c>
      <c r="T24" t="str">
        <f>_xlfn.CONCAT(sales_data_sample[[#This Row],[CONTACTLASTNAME]]," ",sales_data_sample[[#This Row],[CONTACTFIRSTNAME]])</f>
        <v>Labrune Janine</v>
      </c>
    </row>
    <row r="25" spans="1:20" x14ac:dyDescent="0.3">
      <c r="A25">
        <v>10388</v>
      </c>
      <c r="B25" t="s">
        <v>139</v>
      </c>
      <c r="C25" s="1">
        <v>38414</v>
      </c>
      <c r="D25" t="s">
        <v>140</v>
      </c>
      <c r="E25" t="s">
        <v>21</v>
      </c>
      <c r="F25">
        <v>42</v>
      </c>
      <c r="G25">
        <v>76.36</v>
      </c>
      <c r="H25">
        <v>3207.12</v>
      </c>
      <c r="I25">
        <v>4</v>
      </c>
      <c r="J25" t="s">
        <v>22</v>
      </c>
      <c r="K25">
        <v>95</v>
      </c>
      <c r="L25" t="s">
        <v>23</v>
      </c>
      <c r="M25" t="s">
        <v>141</v>
      </c>
      <c r="N25" t="s">
        <v>142</v>
      </c>
      <c r="O25" t="s">
        <v>26</v>
      </c>
      <c r="P25" t="s">
        <v>27</v>
      </c>
      <c r="Q25" t="s">
        <v>143</v>
      </c>
      <c r="R25" t="s">
        <v>144</v>
      </c>
      <c r="S25" t="s">
        <v>45</v>
      </c>
      <c r="T25" t="str">
        <f>_xlfn.CONCAT(sales_data_sample[[#This Row],[CONTACTLASTNAME]]," ",sales_data_sample[[#This Row],[CONTACTFIRSTNAME]])</f>
        <v>Benitez Violeta</v>
      </c>
    </row>
    <row r="26" spans="1:20" x14ac:dyDescent="0.3">
      <c r="A26">
        <v>10403</v>
      </c>
      <c r="B26" t="s">
        <v>145</v>
      </c>
      <c r="C26" s="1">
        <v>38450</v>
      </c>
      <c r="D26" t="s">
        <v>89</v>
      </c>
      <c r="E26" t="s">
        <v>21</v>
      </c>
      <c r="F26">
        <v>24</v>
      </c>
      <c r="G26">
        <v>100</v>
      </c>
      <c r="H26">
        <v>2434.56</v>
      </c>
      <c r="I26">
        <v>7</v>
      </c>
      <c r="J26" t="s">
        <v>22</v>
      </c>
      <c r="K26">
        <v>95</v>
      </c>
      <c r="L26" t="s">
        <v>23</v>
      </c>
      <c r="M26" t="s">
        <v>146</v>
      </c>
      <c r="N26" t="s">
        <v>147</v>
      </c>
      <c r="O26" t="s">
        <v>148</v>
      </c>
      <c r="P26" t="s">
        <v>36</v>
      </c>
      <c r="Q26" t="s">
        <v>149</v>
      </c>
      <c r="R26" t="s">
        <v>150</v>
      </c>
      <c r="S26" t="s">
        <v>30</v>
      </c>
      <c r="T26" t="str">
        <f>_xlfn.CONCAT(sales_data_sample[[#This Row],[CONTACTLASTNAME]]," ",sales_data_sample[[#This Row],[CONTACTFIRSTNAME]])</f>
        <v>Devon Elizabeth</v>
      </c>
    </row>
    <row r="27" spans="1:20" x14ac:dyDescent="0.3">
      <c r="A27">
        <v>10417</v>
      </c>
      <c r="B27" t="s">
        <v>151</v>
      </c>
      <c r="C27" s="1">
        <v>38485</v>
      </c>
      <c r="D27" t="s">
        <v>32</v>
      </c>
      <c r="E27" t="s">
        <v>152</v>
      </c>
      <c r="F27">
        <v>66</v>
      </c>
      <c r="G27">
        <v>100</v>
      </c>
      <c r="H27">
        <v>7516.08</v>
      </c>
      <c r="I27">
        <v>2</v>
      </c>
      <c r="J27" t="s">
        <v>22</v>
      </c>
      <c r="K27">
        <v>95</v>
      </c>
      <c r="L27" t="s">
        <v>23</v>
      </c>
      <c r="M27" t="s">
        <v>153</v>
      </c>
      <c r="N27" t="s">
        <v>154</v>
      </c>
      <c r="O27" t="s">
        <v>155</v>
      </c>
      <c r="P27" t="s">
        <v>36</v>
      </c>
      <c r="Q27" t="s">
        <v>156</v>
      </c>
      <c r="R27" t="s">
        <v>157</v>
      </c>
      <c r="S27" t="s">
        <v>133</v>
      </c>
      <c r="T27" t="str">
        <f>_xlfn.CONCAT(sales_data_sample[[#This Row],[CONTACTLASTNAME]]," ",sales_data_sample[[#This Row],[CONTACTFIRSTNAME]])</f>
        <v>Freyre Diego</v>
      </c>
    </row>
    <row r="28" spans="1:20" x14ac:dyDescent="0.3">
      <c r="A28">
        <v>10103</v>
      </c>
      <c r="B28" t="s">
        <v>118</v>
      </c>
      <c r="C28" s="1">
        <v>37650</v>
      </c>
      <c r="D28" t="s">
        <v>77</v>
      </c>
      <c r="E28" t="s">
        <v>21</v>
      </c>
      <c r="F28">
        <v>26</v>
      </c>
      <c r="G28">
        <v>100</v>
      </c>
      <c r="H28">
        <v>5404.62</v>
      </c>
      <c r="I28">
        <v>11</v>
      </c>
      <c r="J28" t="s">
        <v>158</v>
      </c>
      <c r="K28">
        <v>214</v>
      </c>
      <c r="L28" t="s">
        <v>159</v>
      </c>
      <c r="M28" t="s">
        <v>119</v>
      </c>
      <c r="N28" t="s">
        <v>120</v>
      </c>
      <c r="O28" t="s">
        <v>70</v>
      </c>
      <c r="P28" t="s">
        <v>36</v>
      </c>
      <c r="Q28" t="s">
        <v>121</v>
      </c>
      <c r="R28" t="s">
        <v>122</v>
      </c>
      <c r="S28" t="s">
        <v>45</v>
      </c>
      <c r="T28" t="str">
        <f>_xlfn.CONCAT(sales_data_sample[[#This Row],[CONTACTLASTNAME]]," ",sales_data_sample[[#This Row],[CONTACTFIRSTNAME]])</f>
        <v>Bergulfsen Jonas</v>
      </c>
    </row>
    <row r="29" spans="1:20" x14ac:dyDescent="0.3">
      <c r="A29">
        <v>10112</v>
      </c>
      <c r="B29" t="s">
        <v>160</v>
      </c>
      <c r="C29" s="1">
        <v>37704</v>
      </c>
      <c r="D29" t="s">
        <v>140</v>
      </c>
      <c r="E29" t="s">
        <v>21</v>
      </c>
      <c r="F29">
        <v>29</v>
      </c>
      <c r="G29">
        <v>100</v>
      </c>
      <c r="H29">
        <v>7209.11</v>
      </c>
      <c r="I29">
        <v>1</v>
      </c>
      <c r="J29" t="s">
        <v>158</v>
      </c>
      <c r="K29">
        <v>214</v>
      </c>
      <c r="L29" t="s">
        <v>159</v>
      </c>
      <c r="M29" t="s">
        <v>161</v>
      </c>
      <c r="N29" t="s">
        <v>162</v>
      </c>
      <c r="O29" t="s">
        <v>163</v>
      </c>
      <c r="P29" t="s">
        <v>36</v>
      </c>
      <c r="Q29" t="s">
        <v>164</v>
      </c>
      <c r="R29" t="s">
        <v>165</v>
      </c>
      <c r="S29" t="s">
        <v>133</v>
      </c>
      <c r="T29" t="str">
        <f>_xlfn.CONCAT(sales_data_sample[[#This Row],[CONTACTLASTNAME]]," ",sales_data_sample[[#This Row],[CONTACTFIRSTNAME]])</f>
        <v>Berglund Christina</v>
      </c>
    </row>
    <row r="30" spans="1:20" x14ac:dyDescent="0.3">
      <c r="A30">
        <v>10126</v>
      </c>
      <c r="B30" t="s">
        <v>166</v>
      </c>
      <c r="C30" s="1">
        <v>37769</v>
      </c>
      <c r="D30" t="s">
        <v>32</v>
      </c>
      <c r="E30" t="s">
        <v>21</v>
      </c>
      <c r="F30">
        <v>38</v>
      </c>
      <c r="G30">
        <v>100</v>
      </c>
      <c r="H30">
        <v>7329.06</v>
      </c>
      <c r="I30">
        <v>11</v>
      </c>
      <c r="J30" t="s">
        <v>158</v>
      </c>
      <c r="K30">
        <v>214</v>
      </c>
      <c r="L30" t="s">
        <v>159</v>
      </c>
      <c r="M30" t="s">
        <v>153</v>
      </c>
      <c r="N30" t="s">
        <v>167</v>
      </c>
      <c r="O30" t="s">
        <v>155</v>
      </c>
      <c r="P30" t="s">
        <v>36</v>
      </c>
      <c r="Q30" t="s">
        <v>168</v>
      </c>
      <c r="R30" t="s">
        <v>169</v>
      </c>
      <c r="S30" t="s">
        <v>133</v>
      </c>
      <c r="T30" t="str">
        <f>_xlfn.CONCAT(sales_data_sample[[#This Row],[CONTACTLASTNAME]]," ",sales_data_sample[[#This Row],[CONTACTFIRSTNAME]])</f>
        <v>Sommer Mart¡n</v>
      </c>
    </row>
    <row r="31" spans="1:20" x14ac:dyDescent="0.3">
      <c r="A31">
        <v>10140</v>
      </c>
      <c r="B31" t="s">
        <v>56</v>
      </c>
      <c r="C31" s="1">
        <v>37826</v>
      </c>
      <c r="D31" t="s">
        <v>40</v>
      </c>
      <c r="E31" t="s">
        <v>21</v>
      </c>
      <c r="F31">
        <v>37</v>
      </c>
      <c r="G31">
        <v>100</v>
      </c>
      <c r="H31">
        <v>7374.1</v>
      </c>
      <c r="I31">
        <v>11</v>
      </c>
      <c r="J31" t="s">
        <v>158</v>
      </c>
      <c r="K31">
        <v>214</v>
      </c>
      <c r="L31" t="s">
        <v>159</v>
      </c>
      <c r="M31" t="s">
        <v>57</v>
      </c>
      <c r="N31" t="s">
        <v>58</v>
      </c>
      <c r="O31" t="s">
        <v>26</v>
      </c>
      <c r="P31" t="s">
        <v>27</v>
      </c>
      <c r="Q31" t="s">
        <v>59</v>
      </c>
      <c r="R31" t="s">
        <v>60</v>
      </c>
      <c r="S31" t="s">
        <v>133</v>
      </c>
      <c r="T31" t="str">
        <f>_xlfn.CONCAT(sales_data_sample[[#This Row],[CONTACTLASTNAME]]," ",sales_data_sample[[#This Row],[CONTACTFIRSTNAME]])</f>
        <v>Hirano Juri</v>
      </c>
    </row>
    <row r="32" spans="1:20" x14ac:dyDescent="0.3">
      <c r="A32">
        <v>10150</v>
      </c>
      <c r="B32" t="s">
        <v>170</v>
      </c>
      <c r="C32" s="1">
        <v>37883</v>
      </c>
      <c r="D32" t="s">
        <v>112</v>
      </c>
      <c r="E32" t="s">
        <v>21</v>
      </c>
      <c r="F32">
        <v>45</v>
      </c>
      <c r="G32">
        <v>100</v>
      </c>
      <c r="H32">
        <v>10993.5</v>
      </c>
      <c r="I32">
        <v>8</v>
      </c>
      <c r="J32" t="s">
        <v>158</v>
      </c>
      <c r="K32">
        <v>214</v>
      </c>
      <c r="L32" t="s">
        <v>159</v>
      </c>
      <c r="M32" t="s">
        <v>171</v>
      </c>
      <c r="N32" t="s">
        <v>172</v>
      </c>
      <c r="O32" t="s">
        <v>171</v>
      </c>
      <c r="P32" t="s">
        <v>173</v>
      </c>
      <c r="Q32" t="s">
        <v>174</v>
      </c>
      <c r="R32" t="s">
        <v>175</v>
      </c>
      <c r="S32" t="s">
        <v>133</v>
      </c>
      <c r="T32" t="str">
        <f>_xlfn.CONCAT(sales_data_sample[[#This Row],[CONTACTLASTNAME]]," ",sales_data_sample[[#This Row],[CONTACTFIRSTNAME]])</f>
        <v>Natividad Eric</v>
      </c>
    </row>
    <row r="33" spans="1:20" x14ac:dyDescent="0.3">
      <c r="A33">
        <v>10163</v>
      </c>
      <c r="B33" t="s">
        <v>176</v>
      </c>
      <c r="C33" s="1">
        <v>37914</v>
      </c>
      <c r="D33" t="s">
        <v>53</v>
      </c>
      <c r="E33" t="s">
        <v>21</v>
      </c>
      <c r="F33">
        <v>21</v>
      </c>
      <c r="G33">
        <v>100</v>
      </c>
      <c r="H33">
        <v>4860.24</v>
      </c>
      <c r="I33">
        <v>1</v>
      </c>
      <c r="J33" t="s">
        <v>158</v>
      </c>
      <c r="K33">
        <v>214</v>
      </c>
      <c r="L33" t="s">
        <v>159</v>
      </c>
      <c r="M33" t="s">
        <v>24</v>
      </c>
      <c r="N33" t="s">
        <v>25</v>
      </c>
      <c r="O33" t="s">
        <v>26</v>
      </c>
      <c r="P33" t="s">
        <v>27</v>
      </c>
      <c r="Q33" t="s">
        <v>109</v>
      </c>
      <c r="R33" t="s">
        <v>177</v>
      </c>
      <c r="S33" t="s">
        <v>45</v>
      </c>
      <c r="T33" t="str">
        <f>_xlfn.CONCAT(sales_data_sample[[#This Row],[CONTACTLASTNAME]]," ",sales_data_sample[[#This Row],[CONTACTFIRSTNAME]])</f>
        <v>Hernandez Maria</v>
      </c>
    </row>
    <row r="34" spans="1:20" x14ac:dyDescent="0.3">
      <c r="A34">
        <v>10174</v>
      </c>
      <c r="B34" t="s">
        <v>178</v>
      </c>
      <c r="C34" s="1">
        <v>37931</v>
      </c>
      <c r="D34" t="s">
        <v>62</v>
      </c>
      <c r="E34" t="s">
        <v>21</v>
      </c>
      <c r="F34">
        <v>34</v>
      </c>
      <c r="G34">
        <v>100</v>
      </c>
      <c r="H34">
        <v>8014.82</v>
      </c>
      <c r="I34">
        <v>4</v>
      </c>
      <c r="J34" t="s">
        <v>158</v>
      </c>
      <c r="K34">
        <v>214</v>
      </c>
      <c r="L34" t="s">
        <v>159</v>
      </c>
      <c r="M34" t="s">
        <v>179</v>
      </c>
      <c r="N34" t="s">
        <v>180</v>
      </c>
      <c r="O34" t="s">
        <v>84</v>
      </c>
      <c r="P34" t="s">
        <v>85</v>
      </c>
      <c r="Q34" t="s">
        <v>181</v>
      </c>
      <c r="R34" t="s">
        <v>182</v>
      </c>
      <c r="S34" t="s">
        <v>133</v>
      </c>
      <c r="T34" t="str">
        <f>_xlfn.CONCAT(sales_data_sample[[#This Row],[CONTACTLASTNAME]]," ",sales_data_sample[[#This Row],[CONTACTFIRSTNAME]])</f>
        <v>Calaghan Tony</v>
      </c>
    </row>
    <row r="35" spans="1:20" x14ac:dyDescent="0.3">
      <c r="A35">
        <v>10183</v>
      </c>
      <c r="B35" t="s">
        <v>183</v>
      </c>
      <c r="C35" s="1">
        <v>37938</v>
      </c>
      <c r="D35" t="s">
        <v>62</v>
      </c>
      <c r="E35" t="s">
        <v>21</v>
      </c>
      <c r="F35">
        <v>23</v>
      </c>
      <c r="G35">
        <v>100</v>
      </c>
      <c r="H35">
        <v>5372.57</v>
      </c>
      <c r="I35">
        <v>8</v>
      </c>
      <c r="J35" t="s">
        <v>158</v>
      </c>
      <c r="K35">
        <v>214</v>
      </c>
      <c r="L35" t="s">
        <v>159</v>
      </c>
      <c r="M35" t="s">
        <v>184</v>
      </c>
      <c r="N35" t="s">
        <v>185</v>
      </c>
      <c r="O35" t="s">
        <v>26</v>
      </c>
      <c r="P35" t="s">
        <v>27</v>
      </c>
      <c r="Q35" t="s">
        <v>186</v>
      </c>
      <c r="R35" t="s">
        <v>187</v>
      </c>
      <c r="S35" t="s">
        <v>45</v>
      </c>
      <c r="T35" t="str">
        <f>_xlfn.CONCAT(sales_data_sample[[#This Row],[CONTACTLASTNAME]]," ",sales_data_sample[[#This Row],[CONTACTFIRSTNAME]])</f>
        <v>Cervantes Francisca</v>
      </c>
    </row>
    <row r="36" spans="1:20" x14ac:dyDescent="0.3">
      <c r="A36">
        <v>10194</v>
      </c>
      <c r="B36" t="s">
        <v>188</v>
      </c>
      <c r="C36" s="1">
        <v>37950</v>
      </c>
      <c r="D36" t="s">
        <v>62</v>
      </c>
      <c r="E36" t="s">
        <v>21</v>
      </c>
      <c r="F36">
        <v>42</v>
      </c>
      <c r="G36">
        <v>100</v>
      </c>
      <c r="H36">
        <v>7290.36</v>
      </c>
      <c r="I36">
        <v>11</v>
      </c>
      <c r="J36" t="s">
        <v>158</v>
      </c>
      <c r="K36">
        <v>214</v>
      </c>
      <c r="L36" t="s">
        <v>159</v>
      </c>
      <c r="M36" t="s">
        <v>189</v>
      </c>
      <c r="N36" t="s">
        <v>190</v>
      </c>
      <c r="O36" t="s">
        <v>35</v>
      </c>
      <c r="P36" t="s">
        <v>36</v>
      </c>
      <c r="Q36" t="s">
        <v>191</v>
      </c>
      <c r="R36" t="s">
        <v>192</v>
      </c>
      <c r="S36" t="s">
        <v>133</v>
      </c>
      <c r="T36" t="str">
        <f>_xlfn.CONCAT(sales_data_sample[[#This Row],[CONTACTLASTNAME]]," ",sales_data_sample[[#This Row],[CONTACTFIRSTNAME]])</f>
        <v>Saveley Mary</v>
      </c>
    </row>
    <row r="37" spans="1:20" x14ac:dyDescent="0.3">
      <c r="A37">
        <v>10206</v>
      </c>
      <c r="B37" t="s">
        <v>193</v>
      </c>
      <c r="C37" s="1">
        <v>37960</v>
      </c>
      <c r="D37" t="s">
        <v>74</v>
      </c>
      <c r="E37" t="s">
        <v>21</v>
      </c>
      <c r="F37">
        <v>47</v>
      </c>
      <c r="G37">
        <v>100</v>
      </c>
      <c r="H37">
        <v>9064.89</v>
      </c>
      <c r="I37">
        <v>6</v>
      </c>
      <c r="J37" t="s">
        <v>158</v>
      </c>
      <c r="K37">
        <v>214</v>
      </c>
      <c r="L37" t="s">
        <v>159</v>
      </c>
      <c r="M37" t="s">
        <v>194</v>
      </c>
      <c r="N37" t="s">
        <v>195</v>
      </c>
      <c r="O37" t="s">
        <v>196</v>
      </c>
      <c r="P37" t="s">
        <v>27</v>
      </c>
      <c r="Q37" t="s">
        <v>197</v>
      </c>
      <c r="R37" t="s">
        <v>198</v>
      </c>
      <c r="S37" t="s">
        <v>133</v>
      </c>
      <c r="T37" t="str">
        <f>_xlfn.CONCAT(sales_data_sample[[#This Row],[CONTACTLASTNAME]]," ",sales_data_sample[[#This Row],[CONTACTFIRSTNAME]])</f>
        <v>Tannamuri Yoshi</v>
      </c>
    </row>
    <row r="38" spans="1:20" x14ac:dyDescent="0.3">
      <c r="A38">
        <v>10215</v>
      </c>
      <c r="B38" t="s">
        <v>199</v>
      </c>
      <c r="C38" s="1">
        <v>38015</v>
      </c>
      <c r="D38" t="s">
        <v>77</v>
      </c>
      <c r="E38" t="s">
        <v>21</v>
      </c>
      <c r="F38">
        <v>35</v>
      </c>
      <c r="G38">
        <v>100</v>
      </c>
      <c r="H38">
        <v>6075.3</v>
      </c>
      <c r="I38">
        <v>3</v>
      </c>
      <c r="J38" t="s">
        <v>158</v>
      </c>
      <c r="K38">
        <v>214</v>
      </c>
      <c r="L38" t="s">
        <v>159</v>
      </c>
      <c r="M38" t="s">
        <v>200</v>
      </c>
      <c r="N38" t="s">
        <v>94</v>
      </c>
      <c r="O38" t="s">
        <v>26</v>
      </c>
      <c r="P38" t="s">
        <v>27</v>
      </c>
      <c r="Q38" t="s">
        <v>201</v>
      </c>
      <c r="R38" t="s">
        <v>202</v>
      </c>
      <c r="S38" t="s">
        <v>45</v>
      </c>
      <c r="T38" t="str">
        <f>_xlfn.CONCAT(sales_data_sample[[#This Row],[CONTACTLASTNAME]]," ",sales_data_sample[[#This Row],[CONTACTFIRSTNAME]])</f>
        <v>Thompson Steve</v>
      </c>
    </row>
    <row r="39" spans="1:20" x14ac:dyDescent="0.3">
      <c r="A39">
        <v>10228</v>
      </c>
      <c r="B39" t="s">
        <v>203</v>
      </c>
      <c r="C39" s="1">
        <v>38056</v>
      </c>
      <c r="D39" t="s">
        <v>140</v>
      </c>
      <c r="E39" t="s">
        <v>21</v>
      </c>
      <c r="F39">
        <v>29</v>
      </c>
      <c r="G39">
        <v>100</v>
      </c>
      <c r="H39">
        <v>6463.23</v>
      </c>
      <c r="I39">
        <v>2</v>
      </c>
      <c r="J39" t="s">
        <v>158</v>
      </c>
      <c r="K39">
        <v>214</v>
      </c>
      <c r="L39" t="s">
        <v>159</v>
      </c>
      <c r="M39" t="s">
        <v>107</v>
      </c>
      <c r="N39" t="s">
        <v>108</v>
      </c>
      <c r="O39" t="s">
        <v>26</v>
      </c>
      <c r="P39" t="s">
        <v>27</v>
      </c>
      <c r="Q39" t="s">
        <v>204</v>
      </c>
      <c r="R39" t="s">
        <v>126</v>
      </c>
      <c r="S39" t="s">
        <v>45</v>
      </c>
      <c r="T39" t="str">
        <f>_xlfn.CONCAT(sales_data_sample[[#This Row],[CONTACTLASTNAME]]," ",sales_data_sample[[#This Row],[CONTACTFIRSTNAME]])</f>
        <v>Tseng Kyung</v>
      </c>
    </row>
    <row r="40" spans="1:20" x14ac:dyDescent="0.3">
      <c r="A40">
        <v>10245</v>
      </c>
      <c r="B40" t="s">
        <v>205</v>
      </c>
      <c r="C40" s="1">
        <v>38111</v>
      </c>
      <c r="D40" t="s">
        <v>32</v>
      </c>
      <c r="E40" t="s">
        <v>21</v>
      </c>
      <c r="F40">
        <v>34</v>
      </c>
      <c r="G40">
        <v>100</v>
      </c>
      <c r="H40">
        <v>6120.34</v>
      </c>
      <c r="I40">
        <v>9</v>
      </c>
      <c r="J40" t="s">
        <v>158</v>
      </c>
      <c r="K40">
        <v>214</v>
      </c>
      <c r="L40" t="s">
        <v>159</v>
      </c>
      <c r="M40" t="s">
        <v>206</v>
      </c>
      <c r="N40" t="s">
        <v>207</v>
      </c>
      <c r="O40" t="s">
        <v>26</v>
      </c>
      <c r="P40" t="s">
        <v>27</v>
      </c>
      <c r="Q40" t="s">
        <v>75</v>
      </c>
      <c r="R40" t="s">
        <v>208</v>
      </c>
      <c r="S40" t="s">
        <v>45</v>
      </c>
      <c r="T40" t="str">
        <f>_xlfn.CONCAT(sales_data_sample[[#This Row],[CONTACTLASTNAME]]," ",sales_data_sample[[#This Row],[CONTACTFIRSTNAME]])</f>
        <v>Murphy Leslie</v>
      </c>
    </row>
    <row r="41" spans="1:20" x14ac:dyDescent="0.3">
      <c r="A41">
        <v>10258</v>
      </c>
      <c r="B41" t="s">
        <v>209</v>
      </c>
      <c r="C41" s="1">
        <v>38153</v>
      </c>
      <c r="D41" t="s">
        <v>97</v>
      </c>
      <c r="E41" t="s">
        <v>21</v>
      </c>
      <c r="F41">
        <v>32</v>
      </c>
      <c r="G41">
        <v>100</v>
      </c>
      <c r="H41">
        <v>7680.64</v>
      </c>
      <c r="I41">
        <v>6</v>
      </c>
      <c r="J41" t="s">
        <v>158</v>
      </c>
      <c r="K41">
        <v>214</v>
      </c>
      <c r="L41" t="s">
        <v>159</v>
      </c>
      <c r="M41" t="s">
        <v>210</v>
      </c>
      <c r="N41" t="s">
        <v>211</v>
      </c>
      <c r="O41" t="s">
        <v>173</v>
      </c>
      <c r="P41" t="s">
        <v>173</v>
      </c>
      <c r="Q41" t="s">
        <v>212</v>
      </c>
      <c r="R41" t="s">
        <v>213</v>
      </c>
      <c r="S41" t="s">
        <v>133</v>
      </c>
      <c r="T41" t="str">
        <f>_xlfn.CONCAT(sales_data_sample[[#This Row],[CONTACTLASTNAME]]," ",sales_data_sample[[#This Row],[CONTACTFIRSTNAME]])</f>
        <v>Shimamura Akiko</v>
      </c>
    </row>
    <row r="42" spans="1:20" x14ac:dyDescent="0.3">
      <c r="A42">
        <v>10270</v>
      </c>
      <c r="B42" t="s">
        <v>134</v>
      </c>
      <c r="C42" s="1">
        <v>38187</v>
      </c>
      <c r="D42" t="s">
        <v>40</v>
      </c>
      <c r="E42" t="s">
        <v>21</v>
      </c>
      <c r="F42">
        <v>21</v>
      </c>
      <c r="G42">
        <v>100</v>
      </c>
      <c r="H42">
        <v>4905.3900000000003</v>
      </c>
      <c r="I42">
        <v>9</v>
      </c>
      <c r="J42" t="s">
        <v>158</v>
      </c>
      <c r="K42">
        <v>214</v>
      </c>
      <c r="L42" t="s">
        <v>159</v>
      </c>
      <c r="M42" t="s">
        <v>135</v>
      </c>
      <c r="N42" t="s">
        <v>136</v>
      </c>
      <c r="O42" t="s">
        <v>84</v>
      </c>
      <c r="P42" t="s">
        <v>85</v>
      </c>
      <c r="Q42" t="s">
        <v>137</v>
      </c>
      <c r="R42" t="s">
        <v>138</v>
      </c>
      <c r="S42" t="s">
        <v>45</v>
      </c>
      <c r="T42" t="str">
        <f>_xlfn.CONCAT(sales_data_sample[[#This Row],[CONTACTLASTNAME]]," ",sales_data_sample[[#This Row],[CONTACTFIRSTNAME]])</f>
        <v>Huxley Adrian</v>
      </c>
    </row>
    <row r="43" spans="1:20" x14ac:dyDescent="0.3">
      <c r="A43">
        <v>10280</v>
      </c>
      <c r="B43" t="s">
        <v>214</v>
      </c>
      <c r="C43" s="1">
        <v>38216</v>
      </c>
      <c r="D43" t="s">
        <v>47</v>
      </c>
      <c r="E43" t="s">
        <v>21</v>
      </c>
      <c r="F43">
        <v>34</v>
      </c>
      <c r="G43">
        <v>100</v>
      </c>
      <c r="H43">
        <v>8014.82</v>
      </c>
      <c r="I43">
        <v>2</v>
      </c>
      <c r="J43" t="s">
        <v>158</v>
      </c>
      <c r="K43">
        <v>214</v>
      </c>
      <c r="L43" t="s">
        <v>159</v>
      </c>
      <c r="M43" t="s">
        <v>215</v>
      </c>
      <c r="N43" t="s">
        <v>216</v>
      </c>
      <c r="O43" t="s">
        <v>217</v>
      </c>
      <c r="P43" t="s">
        <v>36</v>
      </c>
      <c r="Q43" t="s">
        <v>218</v>
      </c>
      <c r="R43" t="s">
        <v>219</v>
      </c>
      <c r="S43" t="s">
        <v>133</v>
      </c>
      <c r="T43" t="str">
        <f>_xlfn.CONCAT(sales_data_sample[[#This Row],[CONTACTLASTNAME]]," ",sales_data_sample[[#This Row],[CONTACTFIRSTNAME]])</f>
        <v>Accorti Paolo</v>
      </c>
    </row>
    <row r="44" spans="1:20" x14ac:dyDescent="0.3">
      <c r="A44">
        <v>10291</v>
      </c>
      <c r="B44" t="s">
        <v>220</v>
      </c>
      <c r="C44" s="1">
        <v>38238</v>
      </c>
      <c r="D44" t="s">
        <v>112</v>
      </c>
      <c r="E44" t="s">
        <v>21</v>
      </c>
      <c r="F44">
        <v>37</v>
      </c>
      <c r="G44">
        <v>100</v>
      </c>
      <c r="H44">
        <v>7136.19</v>
      </c>
      <c r="I44">
        <v>11</v>
      </c>
      <c r="J44" t="s">
        <v>158</v>
      </c>
      <c r="K44">
        <v>214</v>
      </c>
      <c r="L44" t="s">
        <v>159</v>
      </c>
      <c r="M44" t="s">
        <v>221</v>
      </c>
      <c r="N44" t="s">
        <v>222</v>
      </c>
      <c r="O44" t="s">
        <v>163</v>
      </c>
      <c r="P44" t="s">
        <v>36</v>
      </c>
      <c r="Q44" t="s">
        <v>223</v>
      </c>
      <c r="R44" t="s">
        <v>177</v>
      </c>
      <c r="S44" t="s">
        <v>133</v>
      </c>
      <c r="T44" t="str">
        <f>_xlfn.CONCAT(sales_data_sample[[#This Row],[CONTACTLASTNAME]]," ",sales_data_sample[[#This Row],[CONTACTFIRSTNAME]])</f>
        <v>Larsson Maria</v>
      </c>
    </row>
    <row r="45" spans="1:20" x14ac:dyDescent="0.3">
      <c r="A45">
        <v>10304</v>
      </c>
      <c r="B45" t="s">
        <v>224</v>
      </c>
      <c r="C45" s="1">
        <v>38271</v>
      </c>
      <c r="D45" t="s">
        <v>53</v>
      </c>
      <c r="E45" t="s">
        <v>21</v>
      </c>
      <c r="F45">
        <v>47</v>
      </c>
      <c r="G45">
        <v>100</v>
      </c>
      <c r="H45">
        <v>10172.700000000001</v>
      </c>
      <c r="I45">
        <v>6</v>
      </c>
      <c r="J45" t="s">
        <v>158</v>
      </c>
      <c r="K45">
        <v>214</v>
      </c>
      <c r="L45" t="s">
        <v>159</v>
      </c>
      <c r="M45" t="s">
        <v>225</v>
      </c>
      <c r="N45" t="s">
        <v>226</v>
      </c>
      <c r="O45" t="s">
        <v>35</v>
      </c>
      <c r="P45" t="s">
        <v>36</v>
      </c>
      <c r="Q45" t="s">
        <v>227</v>
      </c>
      <c r="R45" t="s">
        <v>44</v>
      </c>
      <c r="S45" t="s">
        <v>133</v>
      </c>
      <c r="T45" t="str">
        <f>_xlfn.CONCAT(sales_data_sample[[#This Row],[CONTACTLASTNAME]]," ",sales_data_sample[[#This Row],[CONTACTFIRSTNAME]])</f>
        <v>Tonini Daniel</v>
      </c>
    </row>
    <row r="46" spans="1:20" x14ac:dyDescent="0.3">
      <c r="A46">
        <v>10312</v>
      </c>
      <c r="B46" t="s">
        <v>228</v>
      </c>
      <c r="C46" s="1">
        <v>38281</v>
      </c>
      <c r="D46" t="s">
        <v>53</v>
      </c>
      <c r="E46" t="s">
        <v>21</v>
      </c>
      <c r="F46">
        <v>48</v>
      </c>
      <c r="G46">
        <v>100</v>
      </c>
      <c r="H46">
        <v>11623.7</v>
      </c>
      <c r="I46">
        <v>3</v>
      </c>
      <c r="J46" t="s">
        <v>158</v>
      </c>
      <c r="K46">
        <v>214</v>
      </c>
      <c r="L46" t="s">
        <v>159</v>
      </c>
      <c r="M46" t="s">
        <v>229</v>
      </c>
      <c r="N46" t="s">
        <v>99</v>
      </c>
      <c r="O46" t="s">
        <v>26</v>
      </c>
      <c r="P46" t="s">
        <v>27</v>
      </c>
      <c r="Q46" t="s">
        <v>230</v>
      </c>
      <c r="R46" t="s">
        <v>231</v>
      </c>
      <c r="S46" t="s">
        <v>133</v>
      </c>
      <c r="T46" t="str">
        <f>_xlfn.CONCAT(sales_data_sample[[#This Row],[CONTACTLASTNAME]]," ",sales_data_sample[[#This Row],[CONTACTFIRSTNAME]])</f>
        <v>Nelson Valarie</v>
      </c>
    </row>
    <row r="47" spans="1:20" x14ac:dyDescent="0.3">
      <c r="A47">
        <v>10322</v>
      </c>
      <c r="B47" t="s">
        <v>232</v>
      </c>
      <c r="C47" s="1">
        <v>38295</v>
      </c>
      <c r="D47" t="s">
        <v>62</v>
      </c>
      <c r="E47" t="s">
        <v>21</v>
      </c>
      <c r="F47">
        <v>40</v>
      </c>
      <c r="G47">
        <v>100</v>
      </c>
      <c r="H47">
        <v>6000.4</v>
      </c>
      <c r="I47">
        <v>1</v>
      </c>
      <c r="J47" t="s">
        <v>158</v>
      </c>
      <c r="K47">
        <v>214</v>
      </c>
      <c r="L47" t="s">
        <v>159</v>
      </c>
      <c r="M47" t="s">
        <v>233</v>
      </c>
      <c r="N47" t="s">
        <v>234</v>
      </c>
      <c r="O47" t="s">
        <v>26</v>
      </c>
      <c r="P47" t="s">
        <v>27</v>
      </c>
      <c r="Q47" t="s">
        <v>50</v>
      </c>
      <c r="R47" t="s">
        <v>231</v>
      </c>
      <c r="S47" t="s">
        <v>45</v>
      </c>
      <c r="T47" t="str">
        <f>_xlfn.CONCAT(sales_data_sample[[#This Row],[CONTACTLASTNAME]]," ",sales_data_sample[[#This Row],[CONTACTFIRSTNAME]])</f>
        <v>Young Valarie</v>
      </c>
    </row>
    <row r="48" spans="1:20" x14ac:dyDescent="0.3">
      <c r="A48">
        <v>10333</v>
      </c>
      <c r="B48" t="s">
        <v>73</v>
      </c>
      <c r="C48" s="1">
        <v>38309</v>
      </c>
      <c r="D48" t="s">
        <v>62</v>
      </c>
      <c r="E48" t="s">
        <v>21</v>
      </c>
      <c r="F48">
        <v>26</v>
      </c>
      <c r="G48">
        <v>100</v>
      </c>
      <c r="H48">
        <v>3003</v>
      </c>
      <c r="I48">
        <v>3</v>
      </c>
      <c r="J48" t="s">
        <v>158</v>
      </c>
      <c r="K48">
        <v>214</v>
      </c>
      <c r="L48" t="s">
        <v>159</v>
      </c>
      <c r="M48" t="s">
        <v>54</v>
      </c>
      <c r="N48" t="s">
        <v>27</v>
      </c>
      <c r="O48" t="s">
        <v>26</v>
      </c>
      <c r="P48" t="s">
        <v>27</v>
      </c>
      <c r="Q48" t="s">
        <v>75</v>
      </c>
      <c r="R48" t="s">
        <v>51</v>
      </c>
      <c r="S48" t="s">
        <v>45</v>
      </c>
      <c r="T48" t="str">
        <f>_xlfn.CONCAT(sales_data_sample[[#This Row],[CONTACTLASTNAME]]," ",sales_data_sample[[#This Row],[CONTACTFIRSTNAME]])</f>
        <v>Murphy Julie</v>
      </c>
    </row>
    <row r="49" spans="1:20" x14ac:dyDescent="0.3">
      <c r="A49">
        <v>10347</v>
      </c>
      <c r="B49" t="s">
        <v>81</v>
      </c>
      <c r="C49" s="1">
        <v>38320</v>
      </c>
      <c r="D49" t="s">
        <v>62</v>
      </c>
      <c r="E49" t="s">
        <v>21</v>
      </c>
      <c r="F49">
        <v>30</v>
      </c>
      <c r="G49">
        <v>100</v>
      </c>
      <c r="H49">
        <v>3944.7</v>
      </c>
      <c r="I49">
        <v>1</v>
      </c>
      <c r="J49" t="s">
        <v>158</v>
      </c>
      <c r="K49">
        <v>214</v>
      </c>
      <c r="L49" t="s">
        <v>159</v>
      </c>
      <c r="M49" t="s">
        <v>82</v>
      </c>
      <c r="N49" t="s">
        <v>83</v>
      </c>
      <c r="O49" t="s">
        <v>84</v>
      </c>
      <c r="P49" t="s">
        <v>85</v>
      </c>
      <c r="Q49" t="s">
        <v>86</v>
      </c>
      <c r="R49" t="s">
        <v>87</v>
      </c>
      <c r="S49" t="s">
        <v>45</v>
      </c>
      <c r="T49" t="str">
        <f>_xlfn.CONCAT(sales_data_sample[[#This Row],[CONTACTLASTNAME]]," ",sales_data_sample[[#This Row],[CONTACTFIRSTNAME]])</f>
        <v>Ferguson Peter</v>
      </c>
    </row>
    <row r="50" spans="1:20" x14ac:dyDescent="0.3">
      <c r="A50">
        <v>10357</v>
      </c>
      <c r="B50" t="s">
        <v>228</v>
      </c>
      <c r="C50" s="1">
        <v>38331</v>
      </c>
      <c r="D50" t="s">
        <v>74</v>
      </c>
      <c r="E50" t="s">
        <v>21</v>
      </c>
      <c r="F50">
        <v>32</v>
      </c>
      <c r="G50">
        <v>100</v>
      </c>
      <c r="H50">
        <v>5691.84</v>
      </c>
      <c r="I50">
        <v>10</v>
      </c>
      <c r="J50" t="s">
        <v>158</v>
      </c>
      <c r="K50">
        <v>214</v>
      </c>
      <c r="L50" t="s">
        <v>159</v>
      </c>
      <c r="M50" t="s">
        <v>229</v>
      </c>
      <c r="N50" t="s">
        <v>99</v>
      </c>
      <c r="O50" t="s">
        <v>26</v>
      </c>
      <c r="P50" t="s">
        <v>27</v>
      </c>
      <c r="Q50" t="s">
        <v>230</v>
      </c>
      <c r="R50" t="s">
        <v>231</v>
      </c>
      <c r="S50" t="s">
        <v>45</v>
      </c>
      <c r="T50" t="str">
        <f>_xlfn.CONCAT(sales_data_sample[[#This Row],[CONTACTLASTNAME]]," ",sales_data_sample[[#This Row],[CONTACTFIRSTNAME]])</f>
        <v>Nelson Valarie</v>
      </c>
    </row>
    <row r="51" spans="1:20" x14ac:dyDescent="0.3">
      <c r="A51">
        <v>10369</v>
      </c>
      <c r="B51" t="s">
        <v>235</v>
      </c>
      <c r="C51" s="1">
        <v>38372</v>
      </c>
      <c r="D51" t="s">
        <v>77</v>
      </c>
      <c r="E51" t="s">
        <v>21</v>
      </c>
      <c r="F51">
        <v>41</v>
      </c>
      <c r="G51">
        <v>100</v>
      </c>
      <c r="H51">
        <v>4514.92</v>
      </c>
      <c r="I51">
        <v>2</v>
      </c>
      <c r="J51" t="s">
        <v>158</v>
      </c>
      <c r="K51">
        <v>214</v>
      </c>
      <c r="L51" t="s">
        <v>159</v>
      </c>
      <c r="M51" t="s">
        <v>236</v>
      </c>
      <c r="N51" t="s">
        <v>237</v>
      </c>
      <c r="O51" t="s">
        <v>26</v>
      </c>
      <c r="P51" t="s">
        <v>27</v>
      </c>
      <c r="Q51" t="s">
        <v>230</v>
      </c>
      <c r="R51" t="s">
        <v>238</v>
      </c>
      <c r="S51" t="s">
        <v>45</v>
      </c>
      <c r="T51" t="str">
        <f>_xlfn.CONCAT(sales_data_sample[[#This Row],[CONTACTLASTNAME]]," ",sales_data_sample[[#This Row],[CONTACTFIRSTNAME]])</f>
        <v>Nelson Allen</v>
      </c>
    </row>
    <row r="52" spans="1:20" x14ac:dyDescent="0.3">
      <c r="A52">
        <v>10381</v>
      </c>
      <c r="B52" t="s">
        <v>52</v>
      </c>
      <c r="C52" s="1">
        <v>38400</v>
      </c>
      <c r="D52" t="s">
        <v>20</v>
      </c>
      <c r="E52" t="s">
        <v>21</v>
      </c>
      <c r="F52">
        <v>36</v>
      </c>
      <c r="G52">
        <v>100</v>
      </c>
      <c r="H52">
        <v>8254.7999999999993</v>
      </c>
      <c r="I52">
        <v>3</v>
      </c>
      <c r="J52" t="s">
        <v>158</v>
      </c>
      <c r="K52">
        <v>214</v>
      </c>
      <c r="L52" t="s">
        <v>159</v>
      </c>
      <c r="M52" t="s">
        <v>54</v>
      </c>
      <c r="N52" t="s">
        <v>27</v>
      </c>
      <c r="O52" t="s">
        <v>26</v>
      </c>
      <c r="P52" t="s">
        <v>27</v>
      </c>
      <c r="Q52" t="s">
        <v>55</v>
      </c>
      <c r="R52" t="s">
        <v>51</v>
      </c>
      <c r="S52" t="s">
        <v>133</v>
      </c>
      <c r="T52" t="str">
        <f>_xlfn.CONCAT(sales_data_sample[[#This Row],[CONTACTLASTNAME]]," ",sales_data_sample[[#This Row],[CONTACTFIRSTNAME]])</f>
        <v>Brown Julie</v>
      </c>
    </row>
    <row r="53" spans="1:20" x14ac:dyDescent="0.3">
      <c r="A53">
        <v>10391</v>
      </c>
      <c r="B53" t="s">
        <v>239</v>
      </c>
      <c r="C53" s="1">
        <v>38420</v>
      </c>
      <c r="D53" t="s">
        <v>140</v>
      </c>
      <c r="E53" t="s">
        <v>21</v>
      </c>
      <c r="F53">
        <v>24</v>
      </c>
      <c r="G53">
        <v>100</v>
      </c>
      <c r="H53">
        <v>2416.56</v>
      </c>
      <c r="I53">
        <v>4</v>
      </c>
      <c r="J53" t="s">
        <v>158</v>
      </c>
      <c r="K53">
        <v>214</v>
      </c>
      <c r="L53" t="s">
        <v>159</v>
      </c>
      <c r="M53" t="s">
        <v>240</v>
      </c>
      <c r="N53" t="s">
        <v>241</v>
      </c>
      <c r="O53" t="s">
        <v>84</v>
      </c>
      <c r="P53" t="s">
        <v>85</v>
      </c>
      <c r="Q53" t="s">
        <v>242</v>
      </c>
      <c r="R53" t="s">
        <v>243</v>
      </c>
      <c r="S53" t="s">
        <v>30</v>
      </c>
      <c r="T53" t="str">
        <f>_xlfn.CONCAT(sales_data_sample[[#This Row],[CONTACTLASTNAME]]," ",sales_data_sample[[#This Row],[CONTACTFIRSTNAME]])</f>
        <v>O'Hara Anna</v>
      </c>
    </row>
    <row r="54" spans="1:20" x14ac:dyDescent="0.3">
      <c r="A54">
        <v>10411</v>
      </c>
      <c r="B54" t="s">
        <v>244</v>
      </c>
      <c r="C54" s="1">
        <v>38473</v>
      </c>
      <c r="D54" t="s">
        <v>32</v>
      </c>
      <c r="E54" t="s">
        <v>21</v>
      </c>
      <c r="F54">
        <v>23</v>
      </c>
      <c r="G54">
        <v>100</v>
      </c>
      <c r="H54">
        <v>4140.2299999999996</v>
      </c>
      <c r="I54">
        <v>9</v>
      </c>
      <c r="J54" t="s">
        <v>158</v>
      </c>
      <c r="K54">
        <v>214</v>
      </c>
      <c r="L54" t="s">
        <v>159</v>
      </c>
      <c r="M54" t="s">
        <v>245</v>
      </c>
      <c r="N54" t="s">
        <v>246</v>
      </c>
      <c r="O54" t="s">
        <v>196</v>
      </c>
      <c r="P54" t="s">
        <v>27</v>
      </c>
      <c r="Q54" t="s">
        <v>247</v>
      </c>
      <c r="R54" t="s">
        <v>248</v>
      </c>
      <c r="S54" t="s">
        <v>45</v>
      </c>
      <c r="T54" t="str">
        <f>_xlfn.CONCAT(sales_data_sample[[#This Row],[CONTACTLASTNAME]]," ",sales_data_sample[[#This Row],[CONTACTFIRSTNAME]])</f>
        <v>Fresnisre Jean</v>
      </c>
    </row>
    <row r="55" spans="1:20" x14ac:dyDescent="0.3">
      <c r="A55">
        <v>10424</v>
      </c>
      <c r="B55" t="s">
        <v>151</v>
      </c>
      <c r="C55" s="1">
        <v>38503</v>
      </c>
      <c r="D55" t="s">
        <v>32</v>
      </c>
      <c r="E55" t="s">
        <v>249</v>
      </c>
      <c r="F55">
        <v>50</v>
      </c>
      <c r="G55">
        <v>100</v>
      </c>
      <c r="H55">
        <v>12001</v>
      </c>
      <c r="I55">
        <v>6</v>
      </c>
      <c r="J55" t="s">
        <v>158</v>
      </c>
      <c r="K55">
        <v>214</v>
      </c>
      <c r="L55" t="s">
        <v>159</v>
      </c>
      <c r="M55" t="s">
        <v>153</v>
      </c>
      <c r="N55" t="s">
        <v>154</v>
      </c>
      <c r="O55" t="s">
        <v>155</v>
      </c>
      <c r="P55" t="s">
        <v>36</v>
      </c>
      <c r="Q55" t="s">
        <v>156</v>
      </c>
      <c r="R55" t="s">
        <v>157</v>
      </c>
      <c r="S55" t="s">
        <v>133</v>
      </c>
      <c r="T55" t="str">
        <f>_xlfn.CONCAT(sales_data_sample[[#This Row],[CONTACTLASTNAME]]," ",sales_data_sample[[#This Row],[CONTACTFIRSTNAME]])</f>
        <v>Freyre Diego</v>
      </c>
    </row>
    <row r="56" spans="1:20" x14ac:dyDescent="0.3">
      <c r="A56">
        <v>10120</v>
      </c>
      <c r="B56" t="s">
        <v>81</v>
      </c>
      <c r="C56" s="1">
        <v>37740</v>
      </c>
      <c r="D56" t="s">
        <v>89</v>
      </c>
      <c r="E56" t="s">
        <v>21</v>
      </c>
      <c r="F56">
        <v>29</v>
      </c>
      <c r="G56">
        <v>96.34</v>
      </c>
      <c r="H56">
        <v>2793.86</v>
      </c>
      <c r="I56">
        <v>3</v>
      </c>
      <c r="J56" t="s">
        <v>22</v>
      </c>
      <c r="K56">
        <v>118</v>
      </c>
      <c r="L56" t="s">
        <v>250</v>
      </c>
      <c r="M56" t="s">
        <v>82</v>
      </c>
      <c r="N56" t="s">
        <v>83</v>
      </c>
      <c r="O56" t="s">
        <v>84</v>
      </c>
      <c r="P56" t="s">
        <v>85</v>
      </c>
      <c r="Q56" t="s">
        <v>86</v>
      </c>
      <c r="R56" t="s">
        <v>87</v>
      </c>
      <c r="S56" t="s">
        <v>30</v>
      </c>
      <c r="T56" t="str">
        <f>_xlfn.CONCAT(sales_data_sample[[#This Row],[CONTACTLASTNAME]]," ",sales_data_sample[[#This Row],[CONTACTFIRSTNAME]])</f>
        <v>Ferguson Peter</v>
      </c>
    </row>
    <row r="57" spans="1:20" x14ac:dyDescent="0.3">
      <c r="A57">
        <v>10210</v>
      </c>
      <c r="B57" t="s">
        <v>251</v>
      </c>
      <c r="C57" s="1">
        <v>37998</v>
      </c>
      <c r="D57" t="s">
        <v>77</v>
      </c>
      <c r="E57" t="s">
        <v>21</v>
      </c>
      <c r="F57">
        <v>23</v>
      </c>
      <c r="G57">
        <v>100</v>
      </c>
      <c r="H57">
        <v>3009.09</v>
      </c>
      <c r="I57">
        <v>2</v>
      </c>
      <c r="J57" t="s">
        <v>22</v>
      </c>
      <c r="K57">
        <v>118</v>
      </c>
      <c r="L57" t="s">
        <v>250</v>
      </c>
      <c r="M57" t="s">
        <v>252</v>
      </c>
      <c r="N57" t="s">
        <v>253</v>
      </c>
      <c r="O57" t="s">
        <v>173</v>
      </c>
      <c r="P57" t="s">
        <v>173</v>
      </c>
      <c r="Q57" t="s">
        <v>254</v>
      </c>
      <c r="R57" t="s">
        <v>255</v>
      </c>
      <c r="S57" t="s">
        <v>45</v>
      </c>
      <c r="T57" t="str">
        <f>_xlfn.CONCAT(sales_data_sample[[#This Row],[CONTACTLASTNAME]]," ",sales_data_sample[[#This Row],[CONTACTFIRSTNAME]])</f>
        <v>Kentary Mory</v>
      </c>
    </row>
    <row r="58" spans="1:20" x14ac:dyDescent="0.3">
      <c r="A58">
        <v>10236</v>
      </c>
      <c r="B58" t="s">
        <v>256</v>
      </c>
      <c r="C58" s="1">
        <v>38080</v>
      </c>
      <c r="D58" t="s">
        <v>89</v>
      </c>
      <c r="E58" t="s">
        <v>21</v>
      </c>
      <c r="F58">
        <v>22</v>
      </c>
      <c r="G58">
        <v>100</v>
      </c>
      <c r="H58">
        <v>2852.08</v>
      </c>
      <c r="I58">
        <v>1</v>
      </c>
      <c r="J58" t="s">
        <v>22</v>
      </c>
      <c r="K58">
        <v>118</v>
      </c>
      <c r="L58" t="s">
        <v>250</v>
      </c>
      <c r="M58" t="s">
        <v>184</v>
      </c>
      <c r="N58" t="s">
        <v>185</v>
      </c>
      <c r="O58" t="s">
        <v>26</v>
      </c>
      <c r="P58" t="s">
        <v>27</v>
      </c>
      <c r="Q58" t="s">
        <v>109</v>
      </c>
      <c r="R58" t="s">
        <v>257</v>
      </c>
      <c r="S58" t="s">
        <v>30</v>
      </c>
      <c r="T58" t="str">
        <f>_xlfn.CONCAT(sales_data_sample[[#This Row],[CONTACTLASTNAME]]," ",sales_data_sample[[#This Row],[CONTACTFIRSTNAME]])</f>
        <v>Hernandez Rosa</v>
      </c>
    </row>
    <row r="59" spans="1:20" x14ac:dyDescent="0.3">
      <c r="A59">
        <v>10298</v>
      </c>
      <c r="B59" t="s">
        <v>258</v>
      </c>
      <c r="C59" s="1">
        <v>38257</v>
      </c>
      <c r="D59" t="s">
        <v>112</v>
      </c>
      <c r="E59" t="s">
        <v>21</v>
      </c>
      <c r="F59">
        <v>39</v>
      </c>
      <c r="G59">
        <v>96.34</v>
      </c>
      <c r="H59">
        <v>3757.26</v>
      </c>
      <c r="I59">
        <v>1</v>
      </c>
      <c r="J59" t="s">
        <v>22</v>
      </c>
      <c r="K59">
        <v>118</v>
      </c>
      <c r="L59" t="s">
        <v>250</v>
      </c>
      <c r="M59" t="s">
        <v>102</v>
      </c>
      <c r="N59" t="s">
        <v>103</v>
      </c>
      <c r="O59" t="s">
        <v>35</v>
      </c>
      <c r="P59" t="s">
        <v>36</v>
      </c>
      <c r="Q59" t="s">
        <v>259</v>
      </c>
      <c r="R59" t="s">
        <v>260</v>
      </c>
      <c r="S59" t="s">
        <v>45</v>
      </c>
      <c r="T59" t="str">
        <f>_xlfn.CONCAT(sales_data_sample[[#This Row],[CONTACTLASTNAME]]," ",sales_data_sample[[#This Row],[CONTACTFIRSTNAME]])</f>
        <v>Schmitt Carine</v>
      </c>
    </row>
    <row r="60" spans="1:20" x14ac:dyDescent="0.3">
      <c r="A60">
        <v>10308</v>
      </c>
      <c r="B60" t="s">
        <v>261</v>
      </c>
      <c r="C60" s="1">
        <v>38275</v>
      </c>
      <c r="D60" t="s">
        <v>53</v>
      </c>
      <c r="E60" t="s">
        <v>21</v>
      </c>
      <c r="F60">
        <v>34</v>
      </c>
      <c r="G60">
        <v>100</v>
      </c>
      <c r="H60">
        <v>4043.96</v>
      </c>
      <c r="I60">
        <v>2</v>
      </c>
      <c r="J60" t="s">
        <v>22</v>
      </c>
      <c r="K60">
        <v>118</v>
      </c>
      <c r="L60" t="s">
        <v>250</v>
      </c>
      <c r="M60" t="s">
        <v>262</v>
      </c>
      <c r="N60" t="s">
        <v>263</v>
      </c>
      <c r="O60" t="s">
        <v>26</v>
      </c>
      <c r="P60" t="s">
        <v>27</v>
      </c>
      <c r="Q60" t="s">
        <v>90</v>
      </c>
      <c r="R60" t="s">
        <v>202</v>
      </c>
      <c r="S60" t="s">
        <v>45</v>
      </c>
      <c r="T60" t="str">
        <f>_xlfn.CONCAT(sales_data_sample[[#This Row],[CONTACTLASTNAME]]," ",sales_data_sample[[#This Row],[CONTACTFIRSTNAME]])</f>
        <v>Frick Steve</v>
      </c>
    </row>
    <row r="61" spans="1:20" x14ac:dyDescent="0.3">
      <c r="A61">
        <v>10339</v>
      </c>
      <c r="B61" t="s">
        <v>209</v>
      </c>
      <c r="C61" s="1">
        <v>38314</v>
      </c>
      <c r="D61" t="s">
        <v>62</v>
      </c>
      <c r="E61" t="s">
        <v>21</v>
      </c>
      <c r="F61">
        <v>40</v>
      </c>
      <c r="G61">
        <v>68.92</v>
      </c>
      <c r="H61">
        <v>2756.8</v>
      </c>
      <c r="I61">
        <v>4</v>
      </c>
      <c r="J61" t="s">
        <v>22</v>
      </c>
      <c r="K61">
        <v>118</v>
      </c>
      <c r="L61" t="s">
        <v>250</v>
      </c>
      <c r="M61" t="s">
        <v>210</v>
      </c>
      <c r="N61" t="s">
        <v>211</v>
      </c>
      <c r="O61" t="s">
        <v>173</v>
      </c>
      <c r="P61" t="s">
        <v>173</v>
      </c>
      <c r="Q61" t="s">
        <v>212</v>
      </c>
      <c r="R61" t="s">
        <v>213</v>
      </c>
      <c r="S61" t="s">
        <v>30</v>
      </c>
      <c r="T61" t="str">
        <f>_xlfn.CONCAT(sales_data_sample[[#This Row],[CONTACTLASTNAME]]," ",sales_data_sample[[#This Row],[CONTACTFIRSTNAME]])</f>
        <v>Shimamura Akiko</v>
      </c>
    </row>
    <row r="62" spans="1:20" x14ac:dyDescent="0.3">
      <c r="A62">
        <v>10374</v>
      </c>
      <c r="B62" t="s">
        <v>178</v>
      </c>
      <c r="C62" s="1">
        <v>38385</v>
      </c>
      <c r="D62" t="s">
        <v>20</v>
      </c>
      <c r="E62" t="s">
        <v>21</v>
      </c>
      <c r="F62">
        <v>39</v>
      </c>
      <c r="G62">
        <v>100</v>
      </c>
      <c r="H62">
        <v>5288.01</v>
      </c>
      <c r="I62">
        <v>5</v>
      </c>
      <c r="J62" t="s">
        <v>22</v>
      </c>
      <c r="K62">
        <v>118</v>
      </c>
      <c r="L62" t="s">
        <v>250</v>
      </c>
      <c r="M62" t="s">
        <v>179</v>
      </c>
      <c r="N62" t="s">
        <v>180</v>
      </c>
      <c r="O62" t="s">
        <v>84</v>
      </c>
      <c r="P62" t="s">
        <v>85</v>
      </c>
      <c r="Q62" t="s">
        <v>181</v>
      </c>
      <c r="R62" t="s">
        <v>182</v>
      </c>
      <c r="S62" t="s">
        <v>45</v>
      </c>
      <c r="T62" t="str">
        <f>_xlfn.CONCAT(sales_data_sample[[#This Row],[CONTACTLASTNAME]]," ",sales_data_sample[[#This Row],[CONTACTFIRSTNAME]])</f>
        <v>Calaghan Tony</v>
      </c>
    </row>
    <row r="63" spans="1:20" x14ac:dyDescent="0.3">
      <c r="A63">
        <v>10402</v>
      </c>
      <c r="B63" t="s">
        <v>76</v>
      </c>
      <c r="C63" s="1">
        <v>38449</v>
      </c>
      <c r="D63" t="s">
        <v>89</v>
      </c>
      <c r="E63" t="s">
        <v>21</v>
      </c>
      <c r="F63">
        <v>45</v>
      </c>
      <c r="G63">
        <v>100</v>
      </c>
      <c r="H63">
        <v>5833.8</v>
      </c>
      <c r="I63">
        <v>1</v>
      </c>
      <c r="J63" t="s">
        <v>22</v>
      </c>
      <c r="K63">
        <v>118</v>
      </c>
      <c r="L63" t="s">
        <v>250</v>
      </c>
      <c r="M63" t="s">
        <v>41</v>
      </c>
      <c r="N63" t="s">
        <v>78</v>
      </c>
      <c r="O63" t="s">
        <v>35</v>
      </c>
      <c r="P63" t="s">
        <v>36</v>
      </c>
      <c r="Q63" t="s">
        <v>79</v>
      </c>
      <c r="R63" t="s">
        <v>80</v>
      </c>
      <c r="S63" t="s">
        <v>45</v>
      </c>
      <c r="T63" t="str">
        <f>_xlfn.CONCAT(sales_data_sample[[#This Row],[CONTACTLASTNAME]]," ",sales_data_sample[[#This Row],[CONTACTFIRSTNAME]])</f>
        <v>Perrier Dominique</v>
      </c>
    </row>
    <row r="64" spans="1:20" x14ac:dyDescent="0.3">
      <c r="A64">
        <v>10362</v>
      </c>
      <c r="B64" t="s">
        <v>56</v>
      </c>
      <c r="C64" s="1">
        <v>38357</v>
      </c>
      <c r="D64" t="s">
        <v>77</v>
      </c>
      <c r="E64" t="s">
        <v>21</v>
      </c>
      <c r="F64">
        <v>22</v>
      </c>
      <c r="G64">
        <v>100</v>
      </c>
      <c r="H64">
        <v>3664.1</v>
      </c>
      <c r="I64">
        <v>4</v>
      </c>
      <c r="J64" t="s">
        <v>22</v>
      </c>
      <c r="K64">
        <v>193</v>
      </c>
      <c r="L64" t="s">
        <v>264</v>
      </c>
      <c r="M64" t="s">
        <v>57</v>
      </c>
      <c r="N64" t="s">
        <v>58</v>
      </c>
      <c r="O64" t="s">
        <v>26</v>
      </c>
      <c r="P64" t="s">
        <v>27</v>
      </c>
      <c r="Q64" t="s">
        <v>59</v>
      </c>
      <c r="R64" t="s">
        <v>60</v>
      </c>
      <c r="S64" t="s">
        <v>45</v>
      </c>
      <c r="T64" t="str">
        <f>_xlfn.CONCAT(sales_data_sample[[#This Row],[CONTACTLASTNAME]]," ",sales_data_sample[[#This Row],[CONTACTFIRSTNAME]])</f>
        <v>Hirano Juri</v>
      </c>
    </row>
    <row r="65" spans="1:20" x14ac:dyDescent="0.3">
      <c r="A65">
        <v>10105</v>
      </c>
      <c r="B65" t="s">
        <v>265</v>
      </c>
      <c r="C65" s="1">
        <v>37663</v>
      </c>
      <c r="D65" t="s">
        <v>20</v>
      </c>
      <c r="E65" t="s">
        <v>21</v>
      </c>
      <c r="F65">
        <v>50</v>
      </c>
      <c r="G65">
        <v>100</v>
      </c>
      <c r="H65">
        <v>7208</v>
      </c>
      <c r="I65">
        <v>2</v>
      </c>
      <c r="J65" t="s">
        <v>158</v>
      </c>
      <c r="K65">
        <v>136</v>
      </c>
      <c r="L65" t="s">
        <v>266</v>
      </c>
      <c r="M65" t="s">
        <v>267</v>
      </c>
      <c r="N65" t="s">
        <v>268</v>
      </c>
      <c r="O65" t="s">
        <v>269</v>
      </c>
      <c r="P65" t="s">
        <v>36</v>
      </c>
      <c r="Q65" t="s">
        <v>270</v>
      </c>
      <c r="R65" t="s">
        <v>271</v>
      </c>
      <c r="S65" t="s">
        <v>133</v>
      </c>
      <c r="T65" t="str">
        <f>_xlfn.CONCAT(sales_data_sample[[#This Row],[CONTACTLASTNAME]]," ",sales_data_sample[[#This Row],[CONTACTFIRSTNAME]])</f>
        <v>Petersen Jytte</v>
      </c>
    </row>
    <row r="66" spans="1:20" x14ac:dyDescent="0.3">
      <c r="A66">
        <v>10119</v>
      </c>
      <c r="B66" t="s">
        <v>127</v>
      </c>
      <c r="C66" s="1">
        <v>37739</v>
      </c>
      <c r="D66" t="s">
        <v>89</v>
      </c>
      <c r="E66" t="s">
        <v>21</v>
      </c>
      <c r="F66">
        <v>46</v>
      </c>
      <c r="G66">
        <v>100</v>
      </c>
      <c r="H66">
        <v>5004.8</v>
      </c>
      <c r="I66">
        <v>11</v>
      </c>
      <c r="J66" t="s">
        <v>158</v>
      </c>
      <c r="K66">
        <v>136</v>
      </c>
      <c r="L66" t="s">
        <v>266</v>
      </c>
      <c r="M66" t="s">
        <v>128</v>
      </c>
      <c r="N66" t="s">
        <v>129</v>
      </c>
      <c r="O66" t="s">
        <v>130</v>
      </c>
      <c r="P66" t="s">
        <v>36</v>
      </c>
      <c r="Q66" t="s">
        <v>131</v>
      </c>
      <c r="R66" t="s">
        <v>132</v>
      </c>
      <c r="S66" t="s">
        <v>45</v>
      </c>
      <c r="T66" t="str">
        <f>_xlfn.CONCAT(sales_data_sample[[#This Row],[CONTACTLASTNAME]]," ",sales_data_sample[[#This Row],[CONTACTFIRSTNAME]])</f>
        <v>Pipps Georg</v>
      </c>
    </row>
    <row r="67" spans="1:20" x14ac:dyDescent="0.3">
      <c r="A67">
        <v>10129</v>
      </c>
      <c r="B67" t="s">
        <v>272</v>
      </c>
      <c r="C67" s="1">
        <v>37784</v>
      </c>
      <c r="D67" t="s">
        <v>97</v>
      </c>
      <c r="E67" t="s">
        <v>21</v>
      </c>
      <c r="F67">
        <v>33</v>
      </c>
      <c r="G67">
        <v>100</v>
      </c>
      <c r="H67">
        <v>4398.24</v>
      </c>
      <c r="I67">
        <v>2</v>
      </c>
      <c r="J67" t="s">
        <v>158</v>
      </c>
      <c r="K67">
        <v>136</v>
      </c>
      <c r="L67" t="s">
        <v>266</v>
      </c>
      <c r="M67" t="s">
        <v>273</v>
      </c>
      <c r="N67" t="s">
        <v>274</v>
      </c>
      <c r="O67" t="s">
        <v>148</v>
      </c>
      <c r="P67" t="s">
        <v>36</v>
      </c>
      <c r="Q67" t="s">
        <v>55</v>
      </c>
      <c r="R67" t="s">
        <v>275</v>
      </c>
      <c r="S67" t="s">
        <v>45</v>
      </c>
      <c r="T67" t="str">
        <f>_xlfn.CONCAT(sales_data_sample[[#This Row],[CONTACTLASTNAME]]," ",sales_data_sample[[#This Row],[CONTACTFIRSTNAME]])</f>
        <v>Brown Ann</v>
      </c>
    </row>
    <row r="68" spans="1:20" x14ac:dyDescent="0.3">
      <c r="A68">
        <v>10143</v>
      </c>
      <c r="B68" t="s">
        <v>276</v>
      </c>
      <c r="C68" s="1">
        <v>37843</v>
      </c>
      <c r="D68" t="s">
        <v>47</v>
      </c>
      <c r="E68" t="s">
        <v>21</v>
      </c>
      <c r="F68">
        <v>49</v>
      </c>
      <c r="G68">
        <v>100</v>
      </c>
      <c r="H68">
        <v>5597.76</v>
      </c>
      <c r="I68">
        <v>15</v>
      </c>
      <c r="J68" t="s">
        <v>158</v>
      </c>
      <c r="K68">
        <v>136</v>
      </c>
      <c r="L68" t="s">
        <v>266</v>
      </c>
      <c r="M68" t="s">
        <v>141</v>
      </c>
      <c r="N68" t="s">
        <v>142</v>
      </c>
      <c r="O68" t="s">
        <v>26</v>
      </c>
      <c r="P68" t="s">
        <v>27</v>
      </c>
      <c r="Q68" t="s">
        <v>277</v>
      </c>
      <c r="R68" t="s">
        <v>278</v>
      </c>
      <c r="S68" t="s">
        <v>45</v>
      </c>
      <c r="T68" t="str">
        <f>_xlfn.CONCAT(sales_data_sample[[#This Row],[CONTACTLASTNAME]]," ",sales_data_sample[[#This Row],[CONTACTFIRSTNAME]])</f>
        <v>Tam Wing C</v>
      </c>
    </row>
    <row r="69" spans="1:20" x14ac:dyDescent="0.3">
      <c r="A69">
        <v>10155</v>
      </c>
      <c r="B69" t="s">
        <v>111</v>
      </c>
      <c r="C69" s="1">
        <v>37900</v>
      </c>
      <c r="D69" t="s">
        <v>53</v>
      </c>
      <c r="E69" t="s">
        <v>21</v>
      </c>
      <c r="F69">
        <v>32</v>
      </c>
      <c r="G69">
        <v>100</v>
      </c>
      <c r="H69">
        <v>4526.08</v>
      </c>
      <c r="I69">
        <v>13</v>
      </c>
      <c r="J69" t="s">
        <v>158</v>
      </c>
      <c r="K69">
        <v>136</v>
      </c>
      <c r="L69" t="s">
        <v>266</v>
      </c>
      <c r="M69" t="s">
        <v>113</v>
      </c>
      <c r="N69" t="s">
        <v>114</v>
      </c>
      <c r="O69" t="s">
        <v>115</v>
      </c>
      <c r="P69" t="s">
        <v>36</v>
      </c>
      <c r="Q69" t="s">
        <v>116</v>
      </c>
      <c r="R69" t="s">
        <v>117</v>
      </c>
      <c r="S69" t="s">
        <v>45</v>
      </c>
      <c r="T69" t="str">
        <f>_xlfn.CONCAT(sales_data_sample[[#This Row],[CONTACTLASTNAME]]," ",sales_data_sample[[#This Row],[CONTACTFIRSTNAME]])</f>
        <v>Karttunen Matti</v>
      </c>
    </row>
    <row r="70" spans="1:20" x14ac:dyDescent="0.3">
      <c r="A70">
        <v>10167</v>
      </c>
      <c r="B70" t="s">
        <v>220</v>
      </c>
      <c r="C70" s="1">
        <v>37917</v>
      </c>
      <c r="D70" t="s">
        <v>53</v>
      </c>
      <c r="E70" t="s">
        <v>279</v>
      </c>
      <c r="F70">
        <v>44</v>
      </c>
      <c r="G70">
        <v>100</v>
      </c>
      <c r="H70">
        <v>5924.16</v>
      </c>
      <c r="I70">
        <v>9</v>
      </c>
      <c r="J70" t="s">
        <v>158</v>
      </c>
      <c r="K70">
        <v>136</v>
      </c>
      <c r="L70" t="s">
        <v>266</v>
      </c>
      <c r="M70" t="s">
        <v>221</v>
      </c>
      <c r="N70" t="s">
        <v>222</v>
      </c>
      <c r="O70" t="s">
        <v>163</v>
      </c>
      <c r="P70" t="s">
        <v>36</v>
      </c>
      <c r="Q70" t="s">
        <v>223</v>
      </c>
      <c r="R70" t="s">
        <v>177</v>
      </c>
      <c r="S70" t="s">
        <v>45</v>
      </c>
      <c r="T70" t="str">
        <f>_xlfn.CONCAT(sales_data_sample[[#This Row],[CONTACTLASTNAME]]," ",sales_data_sample[[#This Row],[CONTACTFIRSTNAME]])</f>
        <v>Larsson Maria</v>
      </c>
    </row>
    <row r="71" spans="1:20" x14ac:dyDescent="0.3">
      <c r="A71">
        <v>10178</v>
      </c>
      <c r="B71" t="s">
        <v>280</v>
      </c>
      <c r="C71" s="1">
        <v>37933</v>
      </c>
      <c r="D71" t="s">
        <v>62</v>
      </c>
      <c r="E71" t="s">
        <v>21</v>
      </c>
      <c r="F71">
        <v>24</v>
      </c>
      <c r="G71">
        <v>100</v>
      </c>
      <c r="H71">
        <v>3492.48</v>
      </c>
      <c r="I71">
        <v>12</v>
      </c>
      <c r="J71" t="s">
        <v>158</v>
      </c>
      <c r="K71">
        <v>136</v>
      </c>
      <c r="L71" t="s">
        <v>266</v>
      </c>
      <c r="M71" t="s">
        <v>281</v>
      </c>
      <c r="N71" t="s">
        <v>282</v>
      </c>
      <c r="O71" t="s">
        <v>35</v>
      </c>
      <c r="P71" t="s">
        <v>36</v>
      </c>
      <c r="Q71" t="s">
        <v>283</v>
      </c>
      <c r="R71" t="s">
        <v>284</v>
      </c>
      <c r="S71" t="s">
        <v>45</v>
      </c>
      <c r="T71" t="str">
        <f>_xlfn.CONCAT(sales_data_sample[[#This Row],[CONTACTLASTNAME]]," ",sales_data_sample[[#This Row],[CONTACTFIRSTNAME]])</f>
        <v>Roulet Annette</v>
      </c>
    </row>
    <row r="72" spans="1:20" x14ac:dyDescent="0.3">
      <c r="A72">
        <v>10186</v>
      </c>
      <c r="B72" t="s">
        <v>285</v>
      </c>
      <c r="C72" s="1">
        <v>37939</v>
      </c>
      <c r="D72" t="s">
        <v>62</v>
      </c>
      <c r="E72" t="s">
        <v>21</v>
      </c>
      <c r="F72">
        <v>26</v>
      </c>
      <c r="G72">
        <v>100</v>
      </c>
      <c r="H72">
        <v>3854.24</v>
      </c>
      <c r="I72">
        <v>9</v>
      </c>
      <c r="J72" t="s">
        <v>158</v>
      </c>
      <c r="K72">
        <v>136</v>
      </c>
      <c r="L72" t="s">
        <v>266</v>
      </c>
      <c r="M72" t="s">
        <v>273</v>
      </c>
      <c r="N72" t="s">
        <v>286</v>
      </c>
      <c r="O72" t="s">
        <v>148</v>
      </c>
      <c r="P72" t="s">
        <v>36</v>
      </c>
      <c r="Q72" t="s">
        <v>287</v>
      </c>
      <c r="R72" t="s">
        <v>288</v>
      </c>
      <c r="S72" t="s">
        <v>45</v>
      </c>
      <c r="T72" t="str">
        <f>_xlfn.CONCAT(sales_data_sample[[#This Row],[CONTACTLASTNAME]]," ",sales_data_sample[[#This Row],[CONTACTFIRSTNAME]])</f>
        <v>Hardy Thomas</v>
      </c>
    </row>
    <row r="73" spans="1:20" x14ac:dyDescent="0.3">
      <c r="A73">
        <v>10197</v>
      </c>
      <c r="B73" t="s">
        <v>289</v>
      </c>
      <c r="C73" s="1">
        <v>37951</v>
      </c>
      <c r="D73" t="s">
        <v>62</v>
      </c>
      <c r="E73" t="s">
        <v>21</v>
      </c>
      <c r="F73">
        <v>45</v>
      </c>
      <c r="G73">
        <v>100</v>
      </c>
      <c r="H73">
        <v>5324.4</v>
      </c>
      <c r="I73">
        <v>6</v>
      </c>
      <c r="J73" t="s">
        <v>158</v>
      </c>
      <c r="K73">
        <v>136</v>
      </c>
      <c r="L73" t="s">
        <v>266</v>
      </c>
      <c r="M73" t="s">
        <v>290</v>
      </c>
      <c r="N73" t="s">
        <v>291</v>
      </c>
      <c r="O73" t="s">
        <v>155</v>
      </c>
      <c r="P73" t="s">
        <v>36</v>
      </c>
      <c r="Q73" t="s">
        <v>292</v>
      </c>
      <c r="R73" t="s">
        <v>293</v>
      </c>
      <c r="S73" t="s">
        <v>45</v>
      </c>
      <c r="T73" t="str">
        <f>_xlfn.CONCAT(sales_data_sample[[#This Row],[CONTACTLASTNAME]]," ",sales_data_sample[[#This Row],[CONTACTFIRSTNAME]])</f>
        <v>Saavedra Eduardo</v>
      </c>
    </row>
    <row r="74" spans="1:20" x14ac:dyDescent="0.3">
      <c r="A74">
        <v>10209</v>
      </c>
      <c r="B74" t="s">
        <v>294</v>
      </c>
      <c r="C74" s="1">
        <v>37995</v>
      </c>
      <c r="D74" t="s">
        <v>77</v>
      </c>
      <c r="E74" t="s">
        <v>21</v>
      </c>
      <c r="F74">
        <v>39</v>
      </c>
      <c r="G74">
        <v>100</v>
      </c>
      <c r="H74">
        <v>5197.92</v>
      </c>
      <c r="I74">
        <v>8</v>
      </c>
      <c r="J74" t="s">
        <v>158</v>
      </c>
      <c r="K74">
        <v>136</v>
      </c>
      <c r="L74" t="s">
        <v>266</v>
      </c>
      <c r="M74" t="s">
        <v>295</v>
      </c>
      <c r="N74" t="s">
        <v>27</v>
      </c>
      <c r="O74" t="s">
        <v>26</v>
      </c>
      <c r="P74" t="s">
        <v>27</v>
      </c>
      <c r="Q74" t="s">
        <v>296</v>
      </c>
      <c r="R74" t="s">
        <v>91</v>
      </c>
      <c r="S74" t="s">
        <v>45</v>
      </c>
      <c r="T74" t="str">
        <f>_xlfn.CONCAT(sales_data_sample[[#This Row],[CONTACTLASTNAME]]," ",sales_data_sample[[#This Row],[CONTACTFIRSTNAME]])</f>
        <v>Chandler Michael</v>
      </c>
    </row>
    <row r="75" spans="1:20" x14ac:dyDescent="0.3">
      <c r="A75">
        <v>10222</v>
      </c>
      <c r="B75" t="s">
        <v>297</v>
      </c>
      <c r="C75" s="1">
        <v>38036</v>
      </c>
      <c r="D75" t="s">
        <v>20</v>
      </c>
      <c r="E75" t="s">
        <v>21</v>
      </c>
      <c r="F75">
        <v>49</v>
      </c>
      <c r="G75">
        <v>100</v>
      </c>
      <c r="H75">
        <v>5997.6</v>
      </c>
      <c r="I75">
        <v>12</v>
      </c>
      <c r="J75" t="s">
        <v>158</v>
      </c>
      <c r="K75">
        <v>136</v>
      </c>
      <c r="L75" t="s">
        <v>266</v>
      </c>
      <c r="M75" t="s">
        <v>298</v>
      </c>
      <c r="N75" t="s">
        <v>299</v>
      </c>
      <c r="O75" t="s">
        <v>26</v>
      </c>
      <c r="P75" t="s">
        <v>27</v>
      </c>
      <c r="Q75" t="s">
        <v>201</v>
      </c>
      <c r="R75" t="s">
        <v>231</v>
      </c>
      <c r="S75" t="s">
        <v>45</v>
      </c>
      <c r="T75" t="str">
        <f>_xlfn.CONCAT(sales_data_sample[[#This Row],[CONTACTLASTNAME]]," ",sales_data_sample[[#This Row],[CONTACTFIRSTNAME]])</f>
        <v>Thompson Valarie</v>
      </c>
    </row>
    <row r="76" spans="1:20" x14ac:dyDescent="0.3">
      <c r="A76">
        <v>10248</v>
      </c>
      <c r="B76" t="s">
        <v>19</v>
      </c>
      <c r="C76" s="1">
        <v>38114</v>
      </c>
      <c r="D76" t="s">
        <v>32</v>
      </c>
      <c r="E76" t="s">
        <v>279</v>
      </c>
      <c r="F76">
        <v>20</v>
      </c>
      <c r="G76">
        <v>100</v>
      </c>
      <c r="H76">
        <v>2910.4</v>
      </c>
      <c r="I76">
        <v>3</v>
      </c>
      <c r="J76" t="s">
        <v>158</v>
      </c>
      <c r="K76">
        <v>136</v>
      </c>
      <c r="L76" t="s">
        <v>266</v>
      </c>
      <c r="M76" t="s">
        <v>24</v>
      </c>
      <c r="N76" t="s">
        <v>25</v>
      </c>
      <c r="O76" t="s">
        <v>26</v>
      </c>
      <c r="P76" t="s">
        <v>27</v>
      </c>
      <c r="Q76" t="s">
        <v>28</v>
      </c>
      <c r="R76" t="s">
        <v>29</v>
      </c>
      <c r="S76" t="s">
        <v>30</v>
      </c>
      <c r="T76" t="str">
        <f>_xlfn.CONCAT(sales_data_sample[[#This Row],[CONTACTLASTNAME]]," ",sales_data_sample[[#This Row],[CONTACTFIRSTNAME]])</f>
        <v>Yu Kwai</v>
      </c>
    </row>
    <row r="77" spans="1:20" x14ac:dyDescent="0.3">
      <c r="A77">
        <v>10261</v>
      </c>
      <c r="B77" t="s">
        <v>244</v>
      </c>
      <c r="C77" s="1">
        <v>38155</v>
      </c>
      <c r="D77" t="s">
        <v>97</v>
      </c>
      <c r="E77" t="s">
        <v>21</v>
      </c>
      <c r="F77">
        <v>27</v>
      </c>
      <c r="G77">
        <v>100</v>
      </c>
      <c r="H77">
        <v>3378.24</v>
      </c>
      <c r="I77">
        <v>1</v>
      </c>
      <c r="J77" t="s">
        <v>158</v>
      </c>
      <c r="K77">
        <v>136</v>
      </c>
      <c r="L77" t="s">
        <v>266</v>
      </c>
      <c r="M77" t="s">
        <v>245</v>
      </c>
      <c r="N77" t="s">
        <v>246</v>
      </c>
      <c r="O77" t="s">
        <v>196</v>
      </c>
      <c r="P77" t="s">
        <v>27</v>
      </c>
      <c r="Q77" t="s">
        <v>247</v>
      </c>
      <c r="R77" t="s">
        <v>248</v>
      </c>
      <c r="S77" t="s">
        <v>45</v>
      </c>
      <c r="T77" t="str">
        <f>_xlfn.CONCAT(sales_data_sample[[#This Row],[CONTACTLASTNAME]]," ",sales_data_sample[[#This Row],[CONTACTFIRSTNAME]])</f>
        <v>Fresnisre Jean</v>
      </c>
    </row>
    <row r="78" spans="1:20" x14ac:dyDescent="0.3">
      <c r="A78">
        <v>10273</v>
      </c>
      <c r="B78" t="s">
        <v>300</v>
      </c>
      <c r="C78" s="1">
        <v>38189</v>
      </c>
      <c r="D78" t="s">
        <v>40</v>
      </c>
      <c r="E78" t="s">
        <v>21</v>
      </c>
      <c r="F78">
        <v>30</v>
      </c>
      <c r="G78">
        <v>100</v>
      </c>
      <c r="H78">
        <v>3508.8</v>
      </c>
      <c r="I78">
        <v>4</v>
      </c>
      <c r="J78" t="s">
        <v>158</v>
      </c>
      <c r="K78">
        <v>136</v>
      </c>
      <c r="L78" t="s">
        <v>266</v>
      </c>
      <c r="M78" t="s">
        <v>301</v>
      </c>
      <c r="N78" t="s">
        <v>302</v>
      </c>
      <c r="O78" t="s">
        <v>303</v>
      </c>
      <c r="P78" t="s">
        <v>36</v>
      </c>
      <c r="Q78" t="s">
        <v>304</v>
      </c>
      <c r="R78" t="s">
        <v>305</v>
      </c>
      <c r="S78" t="s">
        <v>45</v>
      </c>
      <c r="T78" t="str">
        <f>_xlfn.CONCAT(sales_data_sample[[#This Row],[CONTACTLASTNAME]]," ",sales_data_sample[[#This Row],[CONTACTFIRSTNAME]])</f>
        <v>Dewey Catherine</v>
      </c>
    </row>
    <row r="79" spans="1:20" x14ac:dyDescent="0.3">
      <c r="A79">
        <v>10283</v>
      </c>
      <c r="B79" t="s">
        <v>306</v>
      </c>
      <c r="C79" s="1">
        <v>38219</v>
      </c>
      <c r="D79" t="s">
        <v>47</v>
      </c>
      <c r="E79" t="s">
        <v>21</v>
      </c>
      <c r="F79">
        <v>25</v>
      </c>
      <c r="G79">
        <v>100</v>
      </c>
      <c r="H79">
        <v>2992</v>
      </c>
      <c r="I79">
        <v>6</v>
      </c>
      <c r="J79" t="s">
        <v>158</v>
      </c>
      <c r="K79">
        <v>136</v>
      </c>
      <c r="L79" t="s">
        <v>266</v>
      </c>
      <c r="M79" t="s">
        <v>307</v>
      </c>
      <c r="N79" t="s">
        <v>308</v>
      </c>
      <c r="O79" t="s">
        <v>196</v>
      </c>
      <c r="P79" t="s">
        <v>27</v>
      </c>
      <c r="Q79" t="s">
        <v>309</v>
      </c>
      <c r="R79" t="s">
        <v>150</v>
      </c>
      <c r="S79" t="s">
        <v>30</v>
      </c>
      <c r="T79" t="str">
        <f>_xlfn.CONCAT(sales_data_sample[[#This Row],[CONTACTLASTNAME]]," ",sales_data_sample[[#This Row],[CONTACTFIRSTNAME]])</f>
        <v>Lincoln Elizabeth</v>
      </c>
    </row>
    <row r="80" spans="1:20" x14ac:dyDescent="0.3">
      <c r="A80">
        <v>10295</v>
      </c>
      <c r="B80" t="s">
        <v>310</v>
      </c>
      <c r="C80" s="1">
        <v>38240</v>
      </c>
      <c r="D80" t="s">
        <v>112</v>
      </c>
      <c r="E80" t="s">
        <v>21</v>
      </c>
      <c r="F80">
        <v>24</v>
      </c>
      <c r="G80">
        <v>100</v>
      </c>
      <c r="H80">
        <v>3427.2</v>
      </c>
      <c r="I80">
        <v>1</v>
      </c>
      <c r="J80" t="s">
        <v>158</v>
      </c>
      <c r="K80">
        <v>136</v>
      </c>
      <c r="L80" t="s">
        <v>266</v>
      </c>
      <c r="M80" t="s">
        <v>311</v>
      </c>
      <c r="N80" t="s">
        <v>312</v>
      </c>
      <c r="O80" t="s">
        <v>26</v>
      </c>
      <c r="P80" t="s">
        <v>27</v>
      </c>
      <c r="Q80" t="s">
        <v>313</v>
      </c>
      <c r="R80" t="s">
        <v>60</v>
      </c>
      <c r="S80" t="s">
        <v>45</v>
      </c>
      <c r="T80" t="str">
        <f>_xlfn.CONCAT(sales_data_sample[[#This Row],[CONTACTLASTNAME]]," ",sales_data_sample[[#This Row],[CONTACTFIRSTNAME]])</f>
        <v>Yoshido Juri</v>
      </c>
    </row>
    <row r="81" spans="1:20" x14ac:dyDescent="0.3">
      <c r="A81">
        <v>10307</v>
      </c>
      <c r="B81" t="s">
        <v>183</v>
      </c>
      <c r="C81" s="1">
        <v>38274</v>
      </c>
      <c r="D81" t="s">
        <v>53</v>
      </c>
      <c r="E81" t="s">
        <v>21</v>
      </c>
      <c r="F81">
        <v>22</v>
      </c>
      <c r="G81">
        <v>100</v>
      </c>
      <c r="H81">
        <v>2692.8</v>
      </c>
      <c r="I81">
        <v>9</v>
      </c>
      <c r="J81" t="s">
        <v>158</v>
      </c>
      <c r="K81">
        <v>136</v>
      </c>
      <c r="L81" t="s">
        <v>266</v>
      </c>
      <c r="M81" t="s">
        <v>184</v>
      </c>
      <c r="N81" t="s">
        <v>185</v>
      </c>
      <c r="O81" t="s">
        <v>26</v>
      </c>
      <c r="P81" t="s">
        <v>27</v>
      </c>
      <c r="Q81" t="s">
        <v>186</v>
      </c>
      <c r="R81" t="s">
        <v>187</v>
      </c>
      <c r="S81" t="s">
        <v>30</v>
      </c>
      <c r="T81" t="str">
        <f>_xlfn.CONCAT(sales_data_sample[[#This Row],[CONTACTLASTNAME]]," ",sales_data_sample[[#This Row],[CONTACTFIRSTNAME]])</f>
        <v>Cervantes Francisca</v>
      </c>
    </row>
    <row r="82" spans="1:20" x14ac:dyDescent="0.3">
      <c r="A82">
        <v>10316</v>
      </c>
      <c r="B82" t="s">
        <v>314</v>
      </c>
      <c r="C82" s="1">
        <v>38292</v>
      </c>
      <c r="D82" t="s">
        <v>62</v>
      </c>
      <c r="E82" t="s">
        <v>21</v>
      </c>
      <c r="F82">
        <v>33</v>
      </c>
      <c r="G82">
        <v>100</v>
      </c>
      <c r="H82">
        <v>4128.96</v>
      </c>
      <c r="I82">
        <v>17</v>
      </c>
      <c r="J82" t="s">
        <v>158</v>
      </c>
      <c r="K82">
        <v>136</v>
      </c>
      <c r="L82" t="s">
        <v>266</v>
      </c>
      <c r="M82" t="s">
        <v>315</v>
      </c>
      <c r="N82" t="s">
        <v>316</v>
      </c>
      <c r="O82" t="s">
        <v>148</v>
      </c>
      <c r="P82" t="s">
        <v>36</v>
      </c>
      <c r="Q82" t="s">
        <v>317</v>
      </c>
      <c r="R82" t="s">
        <v>318</v>
      </c>
      <c r="S82" t="s">
        <v>45</v>
      </c>
      <c r="T82" t="str">
        <f>_xlfn.CONCAT(sales_data_sample[[#This Row],[CONTACTLASTNAME]]," ",sales_data_sample[[#This Row],[CONTACTFIRSTNAME]])</f>
        <v>Bennett Helen</v>
      </c>
    </row>
    <row r="83" spans="1:20" x14ac:dyDescent="0.3">
      <c r="A83">
        <v>10325</v>
      </c>
      <c r="B83" t="s">
        <v>118</v>
      </c>
      <c r="C83" s="1">
        <v>38296</v>
      </c>
      <c r="D83" t="s">
        <v>62</v>
      </c>
      <c r="E83" t="s">
        <v>21</v>
      </c>
      <c r="F83">
        <v>47</v>
      </c>
      <c r="G83">
        <v>64.930000000000007</v>
      </c>
      <c r="H83">
        <v>3051.71</v>
      </c>
      <c r="I83">
        <v>6</v>
      </c>
      <c r="J83" t="s">
        <v>158</v>
      </c>
      <c r="K83">
        <v>136</v>
      </c>
      <c r="L83" t="s">
        <v>266</v>
      </c>
      <c r="M83" t="s">
        <v>119</v>
      </c>
      <c r="N83" t="s">
        <v>120</v>
      </c>
      <c r="O83" t="s">
        <v>70</v>
      </c>
      <c r="P83" t="s">
        <v>36</v>
      </c>
      <c r="Q83" t="s">
        <v>121</v>
      </c>
      <c r="R83" t="s">
        <v>122</v>
      </c>
      <c r="S83" t="s">
        <v>45</v>
      </c>
      <c r="T83" t="str">
        <f>_xlfn.CONCAT(sales_data_sample[[#This Row],[CONTACTLASTNAME]]," ",sales_data_sample[[#This Row],[CONTACTFIRSTNAME]])</f>
        <v>Bergulfsen Jonas</v>
      </c>
    </row>
    <row r="84" spans="1:20" x14ac:dyDescent="0.3">
      <c r="A84">
        <v>10337</v>
      </c>
      <c r="B84" t="s">
        <v>176</v>
      </c>
      <c r="C84" s="1">
        <v>38312</v>
      </c>
      <c r="D84" t="s">
        <v>62</v>
      </c>
      <c r="E84" t="s">
        <v>21</v>
      </c>
      <c r="F84">
        <v>25</v>
      </c>
      <c r="G84">
        <v>48.05</v>
      </c>
      <c r="H84">
        <v>1201.25</v>
      </c>
      <c r="I84">
        <v>8</v>
      </c>
      <c r="J84" t="s">
        <v>158</v>
      </c>
      <c r="K84">
        <v>136</v>
      </c>
      <c r="L84" t="s">
        <v>266</v>
      </c>
      <c r="M84" t="s">
        <v>24</v>
      </c>
      <c r="N84" t="s">
        <v>25</v>
      </c>
      <c r="O84" t="s">
        <v>26</v>
      </c>
      <c r="P84" t="s">
        <v>27</v>
      </c>
      <c r="Q84" t="s">
        <v>109</v>
      </c>
      <c r="R84" t="s">
        <v>177</v>
      </c>
      <c r="S84" t="s">
        <v>30</v>
      </c>
      <c r="T84" t="str">
        <f>_xlfn.CONCAT(sales_data_sample[[#This Row],[CONTACTLASTNAME]]," ",sales_data_sample[[#This Row],[CONTACTFIRSTNAME]])</f>
        <v>Hernandez Maria</v>
      </c>
    </row>
    <row r="85" spans="1:20" x14ac:dyDescent="0.3">
      <c r="A85">
        <v>10350</v>
      </c>
      <c r="B85" t="s">
        <v>151</v>
      </c>
      <c r="C85" s="1">
        <v>38323</v>
      </c>
      <c r="D85" t="s">
        <v>74</v>
      </c>
      <c r="E85" t="s">
        <v>21</v>
      </c>
      <c r="F85">
        <v>26</v>
      </c>
      <c r="G85">
        <v>75.47</v>
      </c>
      <c r="H85">
        <v>1962.22</v>
      </c>
      <c r="I85">
        <v>5</v>
      </c>
      <c r="J85" t="s">
        <v>158</v>
      </c>
      <c r="K85">
        <v>136</v>
      </c>
      <c r="L85" t="s">
        <v>266</v>
      </c>
      <c r="M85" t="s">
        <v>153</v>
      </c>
      <c r="N85" t="s">
        <v>154</v>
      </c>
      <c r="O85" t="s">
        <v>155</v>
      </c>
      <c r="P85" t="s">
        <v>36</v>
      </c>
      <c r="Q85" t="s">
        <v>156</v>
      </c>
      <c r="R85" t="s">
        <v>157</v>
      </c>
      <c r="S85" t="s">
        <v>30</v>
      </c>
      <c r="T85" t="str">
        <f>_xlfn.CONCAT(sales_data_sample[[#This Row],[CONTACTLASTNAME]]," ",sales_data_sample[[#This Row],[CONTACTFIRSTNAME]])</f>
        <v>Freyre Diego</v>
      </c>
    </row>
    <row r="86" spans="1:20" x14ac:dyDescent="0.3">
      <c r="A86">
        <v>10359</v>
      </c>
      <c r="B86" t="s">
        <v>31</v>
      </c>
      <c r="C86" s="1">
        <v>38336</v>
      </c>
      <c r="D86" t="s">
        <v>74</v>
      </c>
      <c r="E86" t="s">
        <v>21</v>
      </c>
      <c r="F86">
        <v>48</v>
      </c>
      <c r="G86">
        <v>54.68</v>
      </c>
      <c r="H86">
        <v>2624.64</v>
      </c>
      <c r="I86">
        <v>6</v>
      </c>
      <c r="J86" t="s">
        <v>158</v>
      </c>
      <c r="K86">
        <v>136</v>
      </c>
      <c r="L86" t="s">
        <v>266</v>
      </c>
      <c r="M86" t="s">
        <v>33</v>
      </c>
      <c r="N86" t="s">
        <v>34</v>
      </c>
      <c r="O86" t="s">
        <v>35</v>
      </c>
      <c r="P86" t="s">
        <v>36</v>
      </c>
      <c r="Q86" t="s">
        <v>37</v>
      </c>
      <c r="R86" t="s">
        <v>38</v>
      </c>
      <c r="S86" t="s">
        <v>30</v>
      </c>
      <c r="T86" t="str">
        <f>_xlfn.CONCAT(sales_data_sample[[#This Row],[CONTACTLASTNAME]]," ",sales_data_sample[[#This Row],[CONTACTFIRSTNAME]])</f>
        <v>Henriot Paul</v>
      </c>
    </row>
    <row r="87" spans="1:20" x14ac:dyDescent="0.3">
      <c r="A87">
        <v>10373</v>
      </c>
      <c r="B87" t="s">
        <v>319</v>
      </c>
      <c r="C87" s="1">
        <v>38383</v>
      </c>
      <c r="D87" t="s">
        <v>77</v>
      </c>
      <c r="E87" t="s">
        <v>21</v>
      </c>
      <c r="F87">
        <v>39</v>
      </c>
      <c r="G87">
        <v>100</v>
      </c>
      <c r="H87">
        <v>4046.25</v>
      </c>
      <c r="I87">
        <v>3</v>
      </c>
      <c r="J87" t="s">
        <v>158</v>
      </c>
      <c r="K87">
        <v>136</v>
      </c>
      <c r="L87" t="s">
        <v>266</v>
      </c>
      <c r="M87" t="s">
        <v>320</v>
      </c>
      <c r="N87" t="s">
        <v>321</v>
      </c>
      <c r="O87" t="s">
        <v>115</v>
      </c>
      <c r="P87" t="s">
        <v>36</v>
      </c>
      <c r="Q87" t="s">
        <v>322</v>
      </c>
      <c r="R87" t="s">
        <v>323</v>
      </c>
      <c r="S87" t="s">
        <v>45</v>
      </c>
      <c r="T87" t="str">
        <f>_xlfn.CONCAT(sales_data_sample[[#This Row],[CONTACTLASTNAME]]," ",sales_data_sample[[#This Row],[CONTACTFIRSTNAME]])</f>
        <v>Koskitalo Pirkko</v>
      </c>
    </row>
    <row r="88" spans="1:20" x14ac:dyDescent="0.3">
      <c r="A88">
        <v>10384</v>
      </c>
      <c r="B88" t="s">
        <v>52</v>
      </c>
      <c r="C88" s="1">
        <v>38406</v>
      </c>
      <c r="D88" t="s">
        <v>20</v>
      </c>
      <c r="E88" t="s">
        <v>21</v>
      </c>
      <c r="F88">
        <v>34</v>
      </c>
      <c r="G88">
        <v>100</v>
      </c>
      <c r="H88">
        <v>4846.7</v>
      </c>
      <c r="I88">
        <v>4</v>
      </c>
      <c r="J88" t="s">
        <v>158</v>
      </c>
      <c r="K88">
        <v>136</v>
      </c>
      <c r="L88" t="s">
        <v>266</v>
      </c>
      <c r="M88" t="s">
        <v>54</v>
      </c>
      <c r="N88" t="s">
        <v>27</v>
      </c>
      <c r="O88" t="s">
        <v>26</v>
      </c>
      <c r="P88" t="s">
        <v>27</v>
      </c>
      <c r="Q88" t="s">
        <v>55</v>
      </c>
      <c r="R88" t="s">
        <v>51</v>
      </c>
      <c r="S88" t="s">
        <v>45</v>
      </c>
      <c r="T88" t="str">
        <f>_xlfn.CONCAT(sales_data_sample[[#This Row],[CONTACTLASTNAME]]," ",sales_data_sample[[#This Row],[CONTACTFIRSTNAME]])</f>
        <v>Brown Julie</v>
      </c>
    </row>
    <row r="89" spans="1:20" x14ac:dyDescent="0.3">
      <c r="A89">
        <v>10395</v>
      </c>
      <c r="B89" t="s">
        <v>39</v>
      </c>
      <c r="C89" s="1">
        <v>38428</v>
      </c>
      <c r="D89" t="s">
        <v>140</v>
      </c>
      <c r="E89" t="s">
        <v>21</v>
      </c>
      <c r="F89">
        <v>32</v>
      </c>
      <c r="G89">
        <v>100</v>
      </c>
      <c r="H89">
        <v>3370.56</v>
      </c>
      <c r="I89">
        <v>2</v>
      </c>
      <c r="J89" t="s">
        <v>158</v>
      </c>
      <c r="K89">
        <v>136</v>
      </c>
      <c r="L89" t="s">
        <v>266</v>
      </c>
      <c r="M89" t="s">
        <v>41</v>
      </c>
      <c r="N89" t="s">
        <v>42</v>
      </c>
      <c r="O89" t="s">
        <v>35</v>
      </c>
      <c r="P89" t="s">
        <v>36</v>
      </c>
      <c r="Q89" t="s">
        <v>43</v>
      </c>
      <c r="R89" t="s">
        <v>44</v>
      </c>
      <c r="S89" t="s">
        <v>45</v>
      </c>
      <c r="T89" t="str">
        <f>_xlfn.CONCAT(sales_data_sample[[#This Row],[CONTACTLASTNAME]]," ",sales_data_sample[[#This Row],[CONTACTFIRSTNAME]])</f>
        <v>Da Cunha Daniel</v>
      </c>
    </row>
    <row r="90" spans="1:20" x14ac:dyDescent="0.3">
      <c r="A90">
        <v>10400</v>
      </c>
      <c r="B90" t="s">
        <v>324</v>
      </c>
      <c r="C90" s="1">
        <v>38443</v>
      </c>
      <c r="D90" t="s">
        <v>89</v>
      </c>
      <c r="E90" t="s">
        <v>21</v>
      </c>
      <c r="F90">
        <v>64</v>
      </c>
      <c r="G90">
        <v>100</v>
      </c>
      <c r="H90">
        <v>9661.44</v>
      </c>
      <c r="I90">
        <v>9</v>
      </c>
      <c r="J90" t="s">
        <v>158</v>
      </c>
      <c r="K90">
        <v>136</v>
      </c>
      <c r="L90" t="s">
        <v>266</v>
      </c>
      <c r="M90" t="s">
        <v>325</v>
      </c>
      <c r="N90" t="s">
        <v>58</v>
      </c>
      <c r="O90" t="s">
        <v>26</v>
      </c>
      <c r="P90" t="s">
        <v>27</v>
      </c>
      <c r="Q90" t="s">
        <v>90</v>
      </c>
      <c r="R90" t="s">
        <v>326</v>
      </c>
      <c r="S90" t="s">
        <v>133</v>
      </c>
      <c r="T90" t="str">
        <f>_xlfn.CONCAT(sales_data_sample[[#This Row],[CONTACTLASTNAME]]," ",sales_data_sample[[#This Row],[CONTACTFIRSTNAME]])</f>
        <v>Frick Sue</v>
      </c>
    </row>
    <row r="91" spans="1:20" x14ac:dyDescent="0.3">
      <c r="A91">
        <v>10414</v>
      </c>
      <c r="B91" t="s">
        <v>310</v>
      </c>
      <c r="C91" s="1">
        <v>38478</v>
      </c>
      <c r="D91" t="s">
        <v>32</v>
      </c>
      <c r="E91" t="s">
        <v>327</v>
      </c>
      <c r="F91">
        <v>19</v>
      </c>
      <c r="G91">
        <v>100</v>
      </c>
      <c r="H91">
        <v>2764.88</v>
      </c>
      <c r="I91">
        <v>3</v>
      </c>
      <c r="J91" t="s">
        <v>158</v>
      </c>
      <c r="K91">
        <v>136</v>
      </c>
      <c r="L91" t="s">
        <v>266</v>
      </c>
      <c r="M91" t="s">
        <v>311</v>
      </c>
      <c r="N91" t="s">
        <v>312</v>
      </c>
      <c r="O91" t="s">
        <v>26</v>
      </c>
      <c r="P91" t="s">
        <v>27</v>
      </c>
      <c r="Q91" t="s">
        <v>313</v>
      </c>
      <c r="R91" t="s">
        <v>60</v>
      </c>
      <c r="S91" t="s">
        <v>30</v>
      </c>
      <c r="T91" t="str">
        <f>_xlfn.CONCAT(sales_data_sample[[#This Row],[CONTACTLASTNAME]]," ",sales_data_sample[[#This Row],[CONTACTFIRSTNAME]])</f>
        <v>Yoshido Juri</v>
      </c>
    </row>
    <row r="92" spans="1:20" x14ac:dyDescent="0.3">
      <c r="A92">
        <v>10114</v>
      </c>
      <c r="B92" t="s">
        <v>328</v>
      </c>
      <c r="C92" s="1">
        <v>37712</v>
      </c>
      <c r="D92" t="s">
        <v>89</v>
      </c>
      <c r="E92" t="s">
        <v>21</v>
      </c>
      <c r="F92">
        <v>31</v>
      </c>
      <c r="G92">
        <v>100</v>
      </c>
      <c r="H92">
        <v>4305.28</v>
      </c>
      <c r="I92">
        <v>8</v>
      </c>
      <c r="J92" t="s">
        <v>158</v>
      </c>
      <c r="K92">
        <v>147</v>
      </c>
      <c r="L92" t="s">
        <v>329</v>
      </c>
      <c r="M92" t="s">
        <v>41</v>
      </c>
      <c r="N92" t="s">
        <v>330</v>
      </c>
      <c r="O92" t="s">
        <v>35</v>
      </c>
      <c r="P92" t="s">
        <v>36</v>
      </c>
      <c r="Q92" t="s">
        <v>331</v>
      </c>
      <c r="R92" t="s">
        <v>332</v>
      </c>
      <c r="S92" t="s">
        <v>45</v>
      </c>
      <c r="T92" t="str">
        <f>_xlfn.CONCAT(sales_data_sample[[#This Row],[CONTACTLASTNAME]]," ",sales_data_sample[[#This Row],[CONTACTFIRSTNAME]])</f>
        <v>Bertrand Marie</v>
      </c>
    </row>
    <row r="93" spans="1:20" x14ac:dyDescent="0.3">
      <c r="A93">
        <v>10164</v>
      </c>
      <c r="B93" t="s">
        <v>333</v>
      </c>
      <c r="C93" s="1">
        <v>37915</v>
      </c>
      <c r="D93" t="s">
        <v>53</v>
      </c>
      <c r="E93" t="s">
        <v>334</v>
      </c>
      <c r="F93">
        <v>21</v>
      </c>
      <c r="G93">
        <v>100</v>
      </c>
      <c r="H93">
        <v>3536.82</v>
      </c>
      <c r="I93">
        <v>2</v>
      </c>
      <c r="J93" t="s">
        <v>158</v>
      </c>
      <c r="K93">
        <v>147</v>
      </c>
      <c r="L93" t="s">
        <v>329</v>
      </c>
      <c r="M93" t="s">
        <v>335</v>
      </c>
      <c r="N93" t="s">
        <v>336</v>
      </c>
      <c r="O93" t="s">
        <v>130</v>
      </c>
      <c r="P93" t="s">
        <v>36</v>
      </c>
      <c r="Q93" t="s">
        <v>337</v>
      </c>
      <c r="R93" t="s">
        <v>338</v>
      </c>
      <c r="S93" t="s">
        <v>45</v>
      </c>
      <c r="T93" t="str">
        <f>_xlfn.CONCAT(sales_data_sample[[#This Row],[CONTACTLASTNAME]]," ",sales_data_sample[[#This Row],[CONTACTFIRSTNAME]])</f>
        <v>Mendel Roland</v>
      </c>
    </row>
    <row r="94" spans="1:20" x14ac:dyDescent="0.3">
      <c r="A94">
        <v>10175</v>
      </c>
      <c r="B94" t="s">
        <v>272</v>
      </c>
      <c r="C94" s="1">
        <v>37931</v>
      </c>
      <c r="D94" t="s">
        <v>62</v>
      </c>
      <c r="E94" t="s">
        <v>21</v>
      </c>
      <c r="F94">
        <v>33</v>
      </c>
      <c r="G94">
        <v>100</v>
      </c>
      <c r="H94">
        <v>5362.83</v>
      </c>
      <c r="I94">
        <v>9</v>
      </c>
      <c r="J94" t="s">
        <v>158</v>
      </c>
      <c r="K94">
        <v>147</v>
      </c>
      <c r="L94" t="s">
        <v>329</v>
      </c>
      <c r="M94" t="s">
        <v>273</v>
      </c>
      <c r="N94" t="s">
        <v>274</v>
      </c>
      <c r="O94" t="s">
        <v>148</v>
      </c>
      <c r="P94" t="s">
        <v>36</v>
      </c>
      <c r="Q94" t="s">
        <v>55</v>
      </c>
      <c r="R94" t="s">
        <v>275</v>
      </c>
      <c r="S94" t="s">
        <v>45</v>
      </c>
      <c r="T94" t="str">
        <f>_xlfn.CONCAT(sales_data_sample[[#This Row],[CONTACTLASTNAME]]," ",sales_data_sample[[#This Row],[CONTACTFIRSTNAME]])</f>
        <v>Brown Ann</v>
      </c>
    </row>
    <row r="95" spans="1:20" x14ac:dyDescent="0.3">
      <c r="A95">
        <v>10207</v>
      </c>
      <c r="B95" t="s">
        <v>339</v>
      </c>
      <c r="C95" s="1">
        <v>37964</v>
      </c>
      <c r="D95" t="s">
        <v>74</v>
      </c>
      <c r="E95" t="s">
        <v>21</v>
      </c>
      <c r="F95">
        <v>31</v>
      </c>
      <c r="G95">
        <v>100</v>
      </c>
      <c r="H95">
        <v>4076.19</v>
      </c>
      <c r="I95">
        <v>15</v>
      </c>
      <c r="J95" t="s">
        <v>158</v>
      </c>
      <c r="K95">
        <v>147</v>
      </c>
      <c r="L95" t="s">
        <v>329</v>
      </c>
      <c r="M95" t="s">
        <v>311</v>
      </c>
      <c r="N95" t="s">
        <v>312</v>
      </c>
      <c r="O95" t="s">
        <v>26</v>
      </c>
      <c r="P95" t="s">
        <v>27</v>
      </c>
      <c r="Q95" t="s">
        <v>340</v>
      </c>
      <c r="R95" t="s">
        <v>231</v>
      </c>
      <c r="S95" t="s">
        <v>45</v>
      </c>
      <c r="T95" t="str">
        <f>_xlfn.CONCAT(sales_data_sample[[#This Row],[CONTACTLASTNAME]]," ",sales_data_sample[[#This Row],[CONTACTFIRSTNAME]])</f>
        <v>Franco Valarie</v>
      </c>
    </row>
    <row r="96" spans="1:20" x14ac:dyDescent="0.3">
      <c r="A96">
        <v>10217</v>
      </c>
      <c r="B96" t="s">
        <v>341</v>
      </c>
      <c r="C96" s="1">
        <v>38021</v>
      </c>
      <c r="D96" t="s">
        <v>20</v>
      </c>
      <c r="E96" t="s">
        <v>21</v>
      </c>
      <c r="F96">
        <v>48</v>
      </c>
      <c r="G96">
        <v>100</v>
      </c>
      <c r="H96">
        <v>7020.48</v>
      </c>
      <c r="I96">
        <v>4</v>
      </c>
      <c r="J96" t="s">
        <v>158</v>
      </c>
      <c r="K96">
        <v>147</v>
      </c>
      <c r="L96" t="s">
        <v>329</v>
      </c>
      <c r="M96" t="s">
        <v>171</v>
      </c>
      <c r="N96" t="s">
        <v>342</v>
      </c>
      <c r="O96" t="s">
        <v>171</v>
      </c>
      <c r="P96" t="s">
        <v>85</v>
      </c>
      <c r="Q96" t="s">
        <v>343</v>
      </c>
      <c r="R96" t="s">
        <v>344</v>
      </c>
      <c r="S96" t="s">
        <v>133</v>
      </c>
      <c r="T96" t="str">
        <f>_xlfn.CONCAT(sales_data_sample[[#This Row],[CONTACTLASTNAME]]," ",sales_data_sample[[#This Row],[CONTACTFIRSTNAME]])</f>
        <v>Victorino Wendy</v>
      </c>
    </row>
    <row r="97" spans="1:20" x14ac:dyDescent="0.3">
      <c r="A97">
        <v>10229</v>
      </c>
      <c r="B97" t="s">
        <v>228</v>
      </c>
      <c r="C97" s="1">
        <v>38057</v>
      </c>
      <c r="D97" t="s">
        <v>140</v>
      </c>
      <c r="E97" t="s">
        <v>21</v>
      </c>
      <c r="F97">
        <v>50</v>
      </c>
      <c r="G97">
        <v>100</v>
      </c>
      <c r="H97">
        <v>6426.5</v>
      </c>
      <c r="I97">
        <v>9</v>
      </c>
      <c r="J97" t="s">
        <v>158</v>
      </c>
      <c r="K97">
        <v>147</v>
      </c>
      <c r="L97" t="s">
        <v>329</v>
      </c>
      <c r="M97" t="s">
        <v>229</v>
      </c>
      <c r="N97" t="s">
        <v>99</v>
      </c>
      <c r="O97" t="s">
        <v>26</v>
      </c>
      <c r="P97" t="s">
        <v>27</v>
      </c>
      <c r="Q97" t="s">
        <v>230</v>
      </c>
      <c r="R97" t="s">
        <v>231</v>
      </c>
      <c r="S97" t="s">
        <v>45</v>
      </c>
      <c r="T97" t="str">
        <f>_xlfn.CONCAT(sales_data_sample[[#This Row],[CONTACTLASTNAME]]," ",sales_data_sample[[#This Row],[CONTACTFIRSTNAME]])</f>
        <v>Nelson Valarie</v>
      </c>
    </row>
    <row r="98" spans="1:20" x14ac:dyDescent="0.3">
      <c r="A98">
        <v>10259</v>
      </c>
      <c r="B98" t="s">
        <v>341</v>
      </c>
      <c r="C98" s="1">
        <v>38153</v>
      </c>
      <c r="D98" t="s">
        <v>97</v>
      </c>
      <c r="E98" t="s">
        <v>21</v>
      </c>
      <c r="F98">
        <v>26</v>
      </c>
      <c r="G98">
        <v>100</v>
      </c>
      <c r="H98">
        <v>4033.38</v>
      </c>
      <c r="I98">
        <v>12</v>
      </c>
      <c r="J98" t="s">
        <v>158</v>
      </c>
      <c r="K98">
        <v>147</v>
      </c>
      <c r="L98" t="s">
        <v>329</v>
      </c>
      <c r="M98" t="s">
        <v>171</v>
      </c>
      <c r="N98" t="s">
        <v>342</v>
      </c>
      <c r="O98" t="s">
        <v>171</v>
      </c>
      <c r="P98" t="s">
        <v>85</v>
      </c>
      <c r="Q98" t="s">
        <v>343</v>
      </c>
      <c r="R98" t="s">
        <v>344</v>
      </c>
      <c r="S98" t="s">
        <v>45</v>
      </c>
      <c r="T98" t="str">
        <f>_xlfn.CONCAT(sales_data_sample[[#This Row],[CONTACTLASTNAME]]," ",sales_data_sample[[#This Row],[CONTACTFIRSTNAME]])</f>
        <v>Victorino Wendy</v>
      </c>
    </row>
    <row r="99" spans="1:20" x14ac:dyDescent="0.3">
      <c r="A99">
        <v>10281</v>
      </c>
      <c r="B99" t="s">
        <v>123</v>
      </c>
      <c r="C99" s="1">
        <v>38218</v>
      </c>
      <c r="D99" t="s">
        <v>47</v>
      </c>
      <c r="E99" t="s">
        <v>21</v>
      </c>
      <c r="F99">
        <v>44</v>
      </c>
      <c r="G99">
        <v>100</v>
      </c>
      <c r="H99">
        <v>7020.64</v>
      </c>
      <c r="I99">
        <v>9</v>
      </c>
      <c r="J99" t="s">
        <v>158</v>
      </c>
      <c r="K99">
        <v>147</v>
      </c>
      <c r="L99" t="s">
        <v>329</v>
      </c>
      <c r="M99" t="s">
        <v>124</v>
      </c>
      <c r="N99" t="s">
        <v>125</v>
      </c>
      <c r="O99" t="s">
        <v>26</v>
      </c>
      <c r="P99" t="s">
        <v>27</v>
      </c>
      <c r="Q99" t="s">
        <v>28</v>
      </c>
      <c r="R99" t="s">
        <v>126</v>
      </c>
      <c r="S99" t="s">
        <v>133</v>
      </c>
      <c r="T99" t="str">
        <f>_xlfn.CONCAT(sales_data_sample[[#This Row],[CONTACTLASTNAME]]," ",sales_data_sample[[#This Row],[CONTACTFIRSTNAME]])</f>
        <v>Yu Kyung</v>
      </c>
    </row>
    <row r="100" spans="1:20" x14ac:dyDescent="0.3">
      <c r="A100">
        <v>10305</v>
      </c>
      <c r="B100" t="s">
        <v>106</v>
      </c>
      <c r="C100" s="1">
        <v>38273</v>
      </c>
      <c r="D100" t="s">
        <v>53</v>
      </c>
      <c r="E100" t="s">
        <v>21</v>
      </c>
      <c r="F100">
        <v>38</v>
      </c>
      <c r="G100">
        <v>100</v>
      </c>
      <c r="H100">
        <v>6680.78</v>
      </c>
      <c r="I100">
        <v>13</v>
      </c>
      <c r="J100" t="s">
        <v>158</v>
      </c>
      <c r="K100">
        <v>147</v>
      </c>
      <c r="L100" t="s">
        <v>329</v>
      </c>
      <c r="M100" t="s">
        <v>107</v>
      </c>
      <c r="N100" t="s">
        <v>108</v>
      </c>
      <c r="O100" t="s">
        <v>26</v>
      </c>
      <c r="P100" t="s">
        <v>27</v>
      </c>
      <c r="Q100" t="s">
        <v>109</v>
      </c>
      <c r="R100" t="s">
        <v>110</v>
      </c>
      <c r="S100" t="s">
        <v>45</v>
      </c>
      <c r="T100" t="str">
        <f>_xlfn.CONCAT(sales_data_sample[[#This Row],[CONTACTLASTNAME]]," ",sales_data_sample[[#This Row],[CONTACTFIRSTNAME]])</f>
        <v>Hernandez Marta</v>
      </c>
    </row>
    <row r="101" spans="1:20" x14ac:dyDescent="0.3">
      <c r="A101">
        <v>10313</v>
      </c>
      <c r="B101" t="s">
        <v>193</v>
      </c>
      <c r="C101" s="1">
        <v>38282</v>
      </c>
      <c r="D101" t="s">
        <v>53</v>
      </c>
      <c r="E101" t="s">
        <v>21</v>
      </c>
      <c r="F101">
        <v>40</v>
      </c>
      <c r="G101">
        <v>100</v>
      </c>
      <c r="H101">
        <v>6678</v>
      </c>
      <c r="I101">
        <v>7</v>
      </c>
      <c r="J101" t="s">
        <v>158</v>
      </c>
      <c r="K101">
        <v>147</v>
      </c>
      <c r="L101" t="s">
        <v>329</v>
      </c>
      <c r="M101" t="s">
        <v>194</v>
      </c>
      <c r="N101" t="s">
        <v>195</v>
      </c>
      <c r="O101" t="s">
        <v>196</v>
      </c>
      <c r="P101" t="s">
        <v>27</v>
      </c>
      <c r="Q101" t="s">
        <v>197</v>
      </c>
      <c r="R101" t="s">
        <v>198</v>
      </c>
      <c r="S101" t="s">
        <v>45</v>
      </c>
      <c r="T101" t="str">
        <f>_xlfn.CONCAT(sales_data_sample[[#This Row],[CONTACTLASTNAME]]," ",sales_data_sample[[#This Row],[CONTACTFIRSTNAME]])</f>
        <v>Tannamuri Yoshi</v>
      </c>
    </row>
    <row r="102" spans="1:20" x14ac:dyDescent="0.3">
      <c r="A102">
        <v>10334</v>
      </c>
      <c r="B102" t="s">
        <v>160</v>
      </c>
      <c r="C102" s="1">
        <v>38310</v>
      </c>
      <c r="D102" t="s">
        <v>62</v>
      </c>
      <c r="E102" t="s">
        <v>327</v>
      </c>
      <c r="F102">
        <v>26</v>
      </c>
      <c r="G102">
        <v>100</v>
      </c>
      <c r="H102">
        <v>3188.12</v>
      </c>
      <c r="I102">
        <v>2</v>
      </c>
      <c r="J102" t="s">
        <v>158</v>
      </c>
      <c r="K102">
        <v>147</v>
      </c>
      <c r="L102" t="s">
        <v>329</v>
      </c>
      <c r="M102" t="s">
        <v>161</v>
      </c>
      <c r="N102" t="s">
        <v>162</v>
      </c>
      <c r="O102" t="s">
        <v>163</v>
      </c>
      <c r="P102" t="s">
        <v>36</v>
      </c>
      <c r="Q102" t="s">
        <v>164</v>
      </c>
      <c r="R102" t="s">
        <v>165</v>
      </c>
      <c r="S102" t="s">
        <v>45</v>
      </c>
      <c r="T102" t="str">
        <f>_xlfn.CONCAT(sales_data_sample[[#This Row],[CONTACTLASTNAME]]," ",sales_data_sample[[#This Row],[CONTACTFIRSTNAME]])</f>
        <v>Berglund Christina</v>
      </c>
    </row>
    <row r="103" spans="1:20" x14ac:dyDescent="0.3">
      <c r="A103">
        <v>10370</v>
      </c>
      <c r="B103" t="s">
        <v>239</v>
      </c>
      <c r="C103" s="1">
        <v>38372</v>
      </c>
      <c r="D103" t="s">
        <v>77</v>
      </c>
      <c r="E103" t="s">
        <v>21</v>
      </c>
      <c r="F103">
        <v>35</v>
      </c>
      <c r="G103">
        <v>65.63</v>
      </c>
      <c r="H103">
        <v>2297.0500000000002</v>
      </c>
      <c r="I103">
        <v>4</v>
      </c>
      <c r="J103" t="s">
        <v>158</v>
      </c>
      <c r="K103">
        <v>147</v>
      </c>
      <c r="L103" t="s">
        <v>329</v>
      </c>
      <c r="M103" t="s">
        <v>240</v>
      </c>
      <c r="N103" t="s">
        <v>241</v>
      </c>
      <c r="O103" t="s">
        <v>84</v>
      </c>
      <c r="P103" t="s">
        <v>85</v>
      </c>
      <c r="Q103" t="s">
        <v>242</v>
      </c>
      <c r="R103" t="s">
        <v>243</v>
      </c>
      <c r="S103" t="s">
        <v>30</v>
      </c>
      <c r="T103" t="str">
        <f>_xlfn.CONCAT(sales_data_sample[[#This Row],[CONTACTLASTNAME]]," ",sales_data_sample[[#This Row],[CONTACTFIRSTNAME]])</f>
        <v>O'Hara Anna</v>
      </c>
    </row>
    <row r="104" spans="1:20" x14ac:dyDescent="0.3">
      <c r="A104">
        <v>10425</v>
      </c>
      <c r="B104" t="s">
        <v>101</v>
      </c>
      <c r="C104" s="1">
        <v>38503</v>
      </c>
      <c r="D104" t="s">
        <v>32</v>
      </c>
      <c r="E104" t="s">
        <v>249</v>
      </c>
      <c r="F104">
        <v>38</v>
      </c>
      <c r="G104">
        <v>100</v>
      </c>
      <c r="H104">
        <v>5894.94</v>
      </c>
      <c r="I104">
        <v>12</v>
      </c>
      <c r="J104" t="s">
        <v>158</v>
      </c>
      <c r="K104">
        <v>147</v>
      </c>
      <c r="L104" t="s">
        <v>329</v>
      </c>
      <c r="M104" t="s">
        <v>102</v>
      </c>
      <c r="N104" t="s">
        <v>103</v>
      </c>
      <c r="O104" t="s">
        <v>35</v>
      </c>
      <c r="P104" t="s">
        <v>36</v>
      </c>
      <c r="Q104" t="s">
        <v>104</v>
      </c>
      <c r="R104" t="s">
        <v>105</v>
      </c>
      <c r="S104" t="s">
        <v>45</v>
      </c>
      <c r="T104" t="str">
        <f>_xlfn.CONCAT(sales_data_sample[[#This Row],[CONTACTLASTNAME]]," ",sales_data_sample[[#This Row],[CONTACTFIRSTNAME]])</f>
        <v>Labrune Janine</v>
      </c>
    </row>
    <row r="105" spans="1:20" x14ac:dyDescent="0.3">
      <c r="A105">
        <v>10108</v>
      </c>
      <c r="B105" t="s">
        <v>345</v>
      </c>
      <c r="C105" s="1">
        <v>37683</v>
      </c>
      <c r="D105" t="s">
        <v>140</v>
      </c>
      <c r="E105" t="s">
        <v>21</v>
      </c>
      <c r="F105">
        <v>33</v>
      </c>
      <c r="G105">
        <v>100</v>
      </c>
      <c r="H105">
        <v>5265.15</v>
      </c>
      <c r="I105">
        <v>6</v>
      </c>
      <c r="J105" t="s">
        <v>158</v>
      </c>
      <c r="K105">
        <v>194</v>
      </c>
      <c r="L105" t="s">
        <v>346</v>
      </c>
      <c r="M105" t="s">
        <v>347</v>
      </c>
      <c r="N105" t="s">
        <v>348</v>
      </c>
      <c r="O105" t="s">
        <v>349</v>
      </c>
      <c r="P105" t="s">
        <v>173</v>
      </c>
      <c r="Q105" t="s">
        <v>350</v>
      </c>
      <c r="R105" t="s">
        <v>351</v>
      </c>
      <c r="S105" t="s">
        <v>45</v>
      </c>
      <c r="T105" t="str">
        <f>_xlfn.CONCAT(sales_data_sample[[#This Row],[CONTACTLASTNAME]]," ",sales_data_sample[[#This Row],[CONTACTFIRSTNAME]])</f>
        <v>Cruz Arnold</v>
      </c>
    </row>
    <row r="106" spans="1:20" x14ac:dyDescent="0.3">
      <c r="A106">
        <v>10122</v>
      </c>
      <c r="B106" t="s">
        <v>352</v>
      </c>
      <c r="C106" s="1">
        <v>37749</v>
      </c>
      <c r="D106" t="s">
        <v>32</v>
      </c>
      <c r="E106" t="s">
        <v>21</v>
      </c>
      <c r="F106">
        <v>42</v>
      </c>
      <c r="G106">
        <v>100</v>
      </c>
      <c r="H106">
        <v>7599.9</v>
      </c>
      <c r="I106">
        <v>10</v>
      </c>
      <c r="J106" t="s">
        <v>158</v>
      </c>
      <c r="K106">
        <v>194</v>
      </c>
      <c r="L106" t="s">
        <v>346</v>
      </c>
      <c r="M106" t="s">
        <v>353</v>
      </c>
      <c r="N106" t="s">
        <v>354</v>
      </c>
      <c r="O106" t="s">
        <v>35</v>
      </c>
      <c r="P106" t="s">
        <v>36</v>
      </c>
      <c r="Q106" t="s">
        <v>355</v>
      </c>
      <c r="R106" t="s">
        <v>356</v>
      </c>
      <c r="S106" t="s">
        <v>133</v>
      </c>
      <c r="T106" t="str">
        <f>_xlfn.CONCAT(sales_data_sample[[#This Row],[CONTACTLASTNAME]]," ",sales_data_sample[[#This Row],[CONTACTFIRSTNAME]])</f>
        <v>Lebihan Laurence</v>
      </c>
    </row>
    <row r="107" spans="1:20" x14ac:dyDescent="0.3">
      <c r="A107">
        <v>10135</v>
      </c>
      <c r="B107" t="s">
        <v>228</v>
      </c>
      <c r="C107" s="1">
        <v>37804</v>
      </c>
      <c r="D107" t="s">
        <v>40</v>
      </c>
      <c r="E107" t="s">
        <v>21</v>
      </c>
      <c r="F107">
        <v>42</v>
      </c>
      <c r="G107">
        <v>100</v>
      </c>
      <c r="H107">
        <v>8008.56</v>
      </c>
      <c r="I107">
        <v>7</v>
      </c>
      <c r="J107" t="s">
        <v>158</v>
      </c>
      <c r="K107">
        <v>194</v>
      </c>
      <c r="L107" t="s">
        <v>346</v>
      </c>
      <c r="M107" t="s">
        <v>229</v>
      </c>
      <c r="N107" t="s">
        <v>99</v>
      </c>
      <c r="O107" t="s">
        <v>26</v>
      </c>
      <c r="P107" t="s">
        <v>27</v>
      </c>
      <c r="Q107" t="s">
        <v>230</v>
      </c>
      <c r="R107" t="s">
        <v>231</v>
      </c>
      <c r="S107" t="s">
        <v>133</v>
      </c>
      <c r="T107" t="str">
        <f>_xlfn.CONCAT(sales_data_sample[[#This Row],[CONTACTLASTNAME]]," ",sales_data_sample[[#This Row],[CONTACTFIRSTNAME]])</f>
        <v>Nelson Valarie</v>
      </c>
    </row>
    <row r="108" spans="1:20" x14ac:dyDescent="0.3">
      <c r="A108">
        <v>10147</v>
      </c>
      <c r="B108" t="s">
        <v>235</v>
      </c>
      <c r="C108" s="1">
        <v>37869</v>
      </c>
      <c r="D108" t="s">
        <v>112</v>
      </c>
      <c r="E108" t="s">
        <v>21</v>
      </c>
      <c r="F108">
        <v>48</v>
      </c>
      <c r="G108">
        <v>100</v>
      </c>
      <c r="H108">
        <v>9245.76</v>
      </c>
      <c r="I108">
        <v>7</v>
      </c>
      <c r="J108" t="s">
        <v>158</v>
      </c>
      <c r="K108">
        <v>194</v>
      </c>
      <c r="L108" t="s">
        <v>346</v>
      </c>
      <c r="M108" t="s">
        <v>236</v>
      </c>
      <c r="N108" t="s">
        <v>237</v>
      </c>
      <c r="O108" t="s">
        <v>26</v>
      </c>
      <c r="P108" t="s">
        <v>27</v>
      </c>
      <c r="Q108" t="s">
        <v>230</v>
      </c>
      <c r="R108" t="s">
        <v>238</v>
      </c>
      <c r="S108" t="s">
        <v>133</v>
      </c>
      <c r="T108" t="str">
        <f>_xlfn.CONCAT(sales_data_sample[[#This Row],[CONTACTLASTNAME]]," ",sales_data_sample[[#This Row],[CONTACTFIRSTNAME]])</f>
        <v>Nelson Allen</v>
      </c>
    </row>
    <row r="109" spans="1:20" x14ac:dyDescent="0.3">
      <c r="A109">
        <v>10169</v>
      </c>
      <c r="B109" t="s">
        <v>239</v>
      </c>
      <c r="C109" s="1">
        <v>37929</v>
      </c>
      <c r="D109" t="s">
        <v>62</v>
      </c>
      <c r="E109" t="s">
        <v>21</v>
      </c>
      <c r="F109">
        <v>30</v>
      </c>
      <c r="G109">
        <v>100</v>
      </c>
      <c r="H109">
        <v>5019.8999999999996</v>
      </c>
      <c r="I109">
        <v>2</v>
      </c>
      <c r="J109" t="s">
        <v>158</v>
      </c>
      <c r="K109">
        <v>194</v>
      </c>
      <c r="L109" t="s">
        <v>346</v>
      </c>
      <c r="M109" t="s">
        <v>240</v>
      </c>
      <c r="N109" t="s">
        <v>241</v>
      </c>
      <c r="O109" t="s">
        <v>84</v>
      </c>
      <c r="P109" t="s">
        <v>85</v>
      </c>
      <c r="Q109" t="s">
        <v>242</v>
      </c>
      <c r="R109" t="s">
        <v>243</v>
      </c>
      <c r="S109" t="s">
        <v>45</v>
      </c>
      <c r="T109" t="str">
        <f>_xlfn.CONCAT(sales_data_sample[[#This Row],[CONTACTLASTNAME]]," ",sales_data_sample[[#This Row],[CONTACTFIRSTNAME]])</f>
        <v>O'Hara Anna</v>
      </c>
    </row>
    <row r="110" spans="1:20" x14ac:dyDescent="0.3">
      <c r="A110">
        <v>10181</v>
      </c>
      <c r="B110" t="s">
        <v>67</v>
      </c>
      <c r="C110" s="1">
        <v>37937</v>
      </c>
      <c r="D110" t="s">
        <v>62</v>
      </c>
      <c r="E110" t="s">
        <v>21</v>
      </c>
      <c r="F110">
        <v>27</v>
      </c>
      <c r="G110">
        <v>100</v>
      </c>
      <c r="H110">
        <v>5411.07</v>
      </c>
      <c r="I110">
        <v>14</v>
      </c>
      <c r="J110" t="s">
        <v>158</v>
      </c>
      <c r="K110">
        <v>194</v>
      </c>
      <c r="L110" t="s">
        <v>346</v>
      </c>
      <c r="M110" t="s">
        <v>68</v>
      </c>
      <c r="N110" t="s">
        <v>69</v>
      </c>
      <c r="O110" t="s">
        <v>70</v>
      </c>
      <c r="P110" t="s">
        <v>36</v>
      </c>
      <c r="Q110" t="s">
        <v>71</v>
      </c>
      <c r="R110" t="s">
        <v>72</v>
      </c>
      <c r="S110" t="s">
        <v>45</v>
      </c>
      <c r="T110" t="str">
        <f>_xlfn.CONCAT(sales_data_sample[[#This Row],[CONTACTLASTNAME]]," ",sales_data_sample[[#This Row],[CONTACTFIRSTNAME]])</f>
        <v>Oeztan Veysel</v>
      </c>
    </row>
    <row r="111" spans="1:20" x14ac:dyDescent="0.3">
      <c r="A111">
        <v>10191</v>
      </c>
      <c r="B111" t="s">
        <v>357</v>
      </c>
      <c r="C111" s="1">
        <v>37945</v>
      </c>
      <c r="D111" t="s">
        <v>62</v>
      </c>
      <c r="E111" t="s">
        <v>21</v>
      </c>
      <c r="F111">
        <v>21</v>
      </c>
      <c r="G111">
        <v>100</v>
      </c>
      <c r="H111">
        <v>3840.9</v>
      </c>
      <c r="I111">
        <v>3</v>
      </c>
      <c r="J111" t="s">
        <v>158</v>
      </c>
      <c r="K111">
        <v>194</v>
      </c>
      <c r="L111" t="s">
        <v>346</v>
      </c>
      <c r="M111" t="s">
        <v>358</v>
      </c>
      <c r="N111" t="s">
        <v>359</v>
      </c>
      <c r="O111" t="s">
        <v>360</v>
      </c>
      <c r="P111" t="s">
        <v>36</v>
      </c>
      <c r="Q111" t="s">
        <v>361</v>
      </c>
      <c r="R111" t="s">
        <v>362</v>
      </c>
      <c r="S111" t="s">
        <v>45</v>
      </c>
      <c r="T111" t="str">
        <f>_xlfn.CONCAT(sales_data_sample[[#This Row],[CONTACTLASTNAME]]," ",sales_data_sample[[#This Row],[CONTACTFIRSTNAME]])</f>
        <v>Pfalzheim Henriette</v>
      </c>
    </row>
    <row r="112" spans="1:20" x14ac:dyDescent="0.3">
      <c r="A112">
        <v>10203</v>
      </c>
      <c r="B112" t="s">
        <v>151</v>
      </c>
      <c r="C112" s="1">
        <v>37957</v>
      </c>
      <c r="D112" t="s">
        <v>74</v>
      </c>
      <c r="E112" t="s">
        <v>21</v>
      </c>
      <c r="F112">
        <v>20</v>
      </c>
      <c r="G112">
        <v>100</v>
      </c>
      <c r="H112">
        <v>3930.4</v>
      </c>
      <c r="I112">
        <v>8</v>
      </c>
      <c r="J112" t="s">
        <v>158</v>
      </c>
      <c r="K112">
        <v>194</v>
      </c>
      <c r="L112" t="s">
        <v>346</v>
      </c>
      <c r="M112" t="s">
        <v>153</v>
      </c>
      <c r="N112" t="s">
        <v>154</v>
      </c>
      <c r="O112" t="s">
        <v>155</v>
      </c>
      <c r="P112" t="s">
        <v>36</v>
      </c>
      <c r="Q112" t="s">
        <v>156</v>
      </c>
      <c r="R112" t="s">
        <v>157</v>
      </c>
      <c r="S112" t="s">
        <v>45</v>
      </c>
      <c r="T112" t="str">
        <f>_xlfn.CONCAT(sales_data_sample[[#This Row],[CONTACTLASTNAME]]," ",sales_data_sample[[#This Row],[CONTACTFIRSTNAME]])</f>
        <v>Freyre Diego</v>
      </c>
    </row>
    <row r="113" spans="1:20" x14ac:dyDescent="0.3">
      <c r="A113">
        <v>10225</v>
      </c>
      <c r="B113" t="s">
        <v>363</v>
      </c>
      <c r="C113" s="1">
        <v>38039</v>
      </c>
      <c r="D113" t="s">
        <v>20</v>
      </c>
      <c r="E113" t="s">
        <v>21</v>
      </c>
      <c r="F113">
        <v>27</v>
      </c>
      <c r="G113">
        <v>100</v>
      </c>
      <c r="H113">
        <v>4517.91</v>
      </c>
      <c r="I113">
        <v>9</v>
      </c>
      <c r="J113" t="s">
        <v>158</v>
      </c>
      <c r="K113">
        <v>194</v>
      </c>
      <c r="L113" t="s">
        <v>346</v>
      </c>
      <c r="M113" t="s">
        <v>364</v>
      </c>
      <c r="N113" t="s">
        <v>365</v>
      </c>
      <c r="O113" t="s">
        <v>366</v>
      </c>
      <c r="P113" t="s">
        <v>36</v>
      </c>
      <c r="Q113" t="s">
        <v>367</v>
      </c>
      <c r="R113" t="s">
        <v>91</v>
      </c>
      <c r="S113" t="s">
        <v>45</v>
      </c>
      <c r="T113" t="str">
        <f>_xlfn.CONCAT(sales_data_sample[[#This Row],[CONTACTLASTNAME]]," ",sales_data_sample[[#This Row],[CONTACTFIRSTNAME]])</f>
        <v>Holz Michael</v>
      </c>
    </row>
    <row r="114" spans="1:20" x14ac:dyDescent="0.3">
      <c r="A114">
        <v>10238</v>
      </c>
      <c r="B114" t="s">
        <v>265</v>
      </c>
      <c r="C114" s="1">
        <v>38086</v>
      </c>
      <c r="D114" t="s">
        <v>89</v>
      </c>
      <c r="E114" t="s">
        <v>21</v>
      </c>
      <c r="F114">
        <v>28</v>
      </c>
      <c r="G114">
        <v>100</v>
      </c>
      <c r="H114">
        <v>5774.72</v>
      </c>
      <c r="I114">
        <v>3</v>
      </c>
      <c r="J114" t="s">
        <v>158</v>
      </c>
      <c r="K114">
        <v>194</v>
      </c>
      <c r="L114" t="s">
        <v>346</v>
      </c>
      <c r="M114" t="s">
        <v>267</v>
      </c>
      <c r="N114" t="s">
        <v>268</v>
      </c>
      <c r="O114" t="s">
        <v>269</v>
      </c>
      <c r="P114" t="s">
        <v>36</v>
      </c>
      <c r="Q114" t="s">
        <v>270</v>
      </c>
      <c r="R114" t="s">
        <v>271</v>
      </c>
      <c r="S114" t="s">
        <v>45</v>
      </c>
      <c r="T114" t="str">
        <f>_xlfn.CONCAT(sales_data_sample[[#This Row],[CONTACTLASTNAME]]," ",sales_data_sample[[#This Row],[CONTACTFIRSTNAME]])</f>
        <v>Petersen Jytte</v>
      </c>
    </row>
    <row r="115" spans="1:20" x14ac:dyDescent="0.3">
      <c r="A115">
        <v>10253</v>
      </c>
      <c r="B115" t="s">
        <v>145</v>
      </c>
      <c r="C115" s="1">
        <v>38139</v>
      </c>
      <c r="D115" t="s">
        <v>97</v>
      </c>
      <c r="E115" t="s">
        <v>279</v>
      </c>
      <c r="F115">
        <v>24</v>
      </c>
      <c r="G115">
        <v>100</v>
      </c>
      <c r="H115">
        <v>3922.56</v>
      </c>
      <c r="I115">
        <v>13</v>
      </c>
      <c r="J115" t="s">
        <v>158</v>
      </c>
      <c r="K115">
        <v>194</v>
      </c>
      <c r="L115" t="s">
        <v>346</v>
      </c>
      <c r="M115" t="s">
        <v>146</v>
      </c>
      <c r="N115" t="s">
        <v>147</v>
      </c>
      <c r="O115" t="s">
        <v>148</v>
      </c>
      <c r="P115" t="s">
        <v>36</v>
      </c>
      <c r="Q115" t="s">
        <v>149</v>
      </c>
      <c r="R115" t="s">
        <v>150</v>
      </c>
      <c r="S115" t="s">
        <v>45</v>
      </c>
      <c r="T115" t="str">
        <f>_xlfn.CONCAT(sales_data_sample[[#This Row],[CONTACTLASTNAME]]," ",sales_data_sample[[#This Row],[CONTACTFIRSTNAME]])</f>
        <v>Devon Elizabeth</v>
      </c>
    </row>
    <row r="116" spans="1:20" x14ac:dyDescent="0.3">
      <c r="A116">
        <v>10266</v>
      </c>
      <c r="B116" t="s">
        <v>368</v>
      </c>
      <c r="C116" s="1">
        <v>38174</v>
      </c>
      <c r="D116" t="s">
        <v>40</v>
      </c>
      <c r="E116" t="s">
        <v>21</v>
      </c>
      <c r="F116">
        <v>44</v>
      </c>
      <c r="G116">
        <v>100</v>
      </c>
      <c r="H116">
        <v>9160.36</v>
      </c>
      <c r="I116">
        <v>14</v>
      </c>
      <c r="J116" t="s">
        <v>158</v>
      </c>
      <c r="K116">
        <v>194</v>
      </c>
      <c r="L116" t="s">
        <v>346</v>
      </c>
      <c r="M116" t="s">
        <v>369</v>
      </c>
      <c r="N116" t="s">
        <v>370</v>
      </c>
      <c r="O116" t="s">
        <v>217</v>
      </c>
      <c r="P116" t="s">
        <v>36</v>
      </c>
      <c r="Q116" t="s">
        <v>371</v>
      </c>
      <c r="R116" t="s">
        <v>372</v>
      </c>
      <c r="S116" t="s">
        <v>133</v>
      </c>
      <c r="T116" t="str">
        <f>_xlfn.CONCAT(sales_data_sample[[#This Row],[CONTACTLASTNAME]]," ",sales_data_sample[[#This Row],[CONTACTFIRSTNAME]])</f>
        <v>Moroni Maurizio</v>
      </c>
    </row>
    <row r="117" spans="1:20" x14ac:dyDescent="0.3">
      <c r="A117">
        <v>10276</v>
      </c>
      <c r="B117" t="s">
        <v>373</v>
      </c>
      <c r="C117" s="1">
        <v>38201</v>
      </c>
      <c r="D117" t="s">
        <v>47</v>
      </c>
      <c r="E117" t="s">
        <v>21</v>
      </c>
      <c r="F117">
        <v>50</v>
      </c>
      <c r="G117">
        <v>100</v>
      </c>
      <c r="H117">
        <v>9631</v>
      </c>
      <c r="I117">
        <v>3</v>
      </c>
      <c r="J117" t="s">
        <v>158</v>
      </c>
      <c r="K117">
        <v>194</v>
      </c>
      <c r="L117" t="s">
        <v>346</v>
      </c>
      <c r="M117" t="s">
        <v>236</v>
      </c>
      <c r="N117" t="s">
        <v>237</v>
      </c>
      <c r="O117" t="s">
        <v>26</v>
      </c>
      <c r="P117" t="s">
        <v>27</v>
      </c>
      <c r="Q117" t="s">
        <v>374</v>
      </c>
      <c r="R117" t="s">
        <v>375</v>
      </c>
      <c r="S117" t="s">
        <v>133</v>
      </c>
      <c r="T117" t="str">
        <f>_xlfn.CONCAT(sales_data_sample[[#This Row],[CONTACTLASTNAME]]," ",sales_data_sample[[#This Row],[CONTACTFIRSTNAME]])</f>
        <v>Barajas Miguel</v>
      </c>
    </row>
    <row r="118" spans="1:20" x14ac:dyDescent="0.3">
      <c r="A118">
        <v>10287</v>
      </c>
      <c r="B118" t="s">
        <v>363</v>
      </c>
      <c r="C118" s="1">
        <v>38229</v>
      </c>
      <c r="D118" t="s">
        <v>47</v>
      </c>
      <c r="E118" t="s">
        <v>21</v>
      </c>
      <c r="F118">
        <v>21</v>
      </c>
      <c r="G118">
        <v>100</v>
      </c>
      <c r="H118">
        <v>3432.24</v>
      </c>
      <c r="I118">
        <v>12</v>
      </c>
      <c r="J118" t="s">
        <v>158</v>
      </c>
      <c r="K118">
        <v>194</v>
      </c>
      <c r="L118" t="s">
        <v>346</v>
      </c>
      <c r="M118" t="s">
        <v>364</v>
      </c>
      <c r="N118" t="s">
        <v>365</v>
      </c>
      <c r="O118" t="s">
        <v>366</v>
      </c>
      <c r="P118" t="s">
        <v>36</v>
      </c>
      <c r="Q118" t="s">
        <v>367</v>
      </c>
      <c r="R118" t="s">
        <v>91</v>
      </c>
      <c r="S118" t="s">
        <v>45</v>
      </c>
      <c r="T118" t="str">
        <f>_xlfn.CONCAT(sales_data_sample[[#This Row],[CONTACTLASTNAME]]," ",sales_data_sample[[#This Row],[CONTACTFIRSTNAME]])</f>
        <v>Holz Michael</v>
      </c>
    </row>
    <row r="119" spans="1:20" x14ac:dyDescent="0.3">
      <c r="A119">
        <v>10300</v>
      </c>
      <c r="B119" t="s">
        <v>376</v>
      </c>
      <c r="C119" s="1">
        <v>37898</v>
      </c>
      <c r="D119" t="s">
        <v>53</v>
      </c>
      <c r="E119" t="s">
        <v>21</v>
      </c>
      <c r="F119">
        <v>33</v>
      </c>
      <c r="G119">
        <v>100</v>
      </c>
      <c r="H119">
        <v>5521.89</v>
      </c>
      <c r="I119">
        <v>5</v>
      </c>
      <c r="J119" t="s">
        <v>158</v>
      </c>
      <c r="K119">
        <v>194</v>
      </c>
      <c r="L119" t="s">
        <v>346</v>
      </c>
      <c r="M119" t="s">
        <v>377</v>
      </c>
      <c r="N119" t="s">
        <v>378</v>
      </c>
      <c r="O119" t="s">
        <v>360</v>
      </c>
      <c r="P119" t="s">
        <v>36</v>
      </c>
      <c r="Q119" t="s">
        <v>379</v>
      </c>
      <c r="R119" t="s">
        <v>338</v>
      </c>
      <c r="S119" t="s">
        <v>45</v>
      </c>
      <c r="T119" t="str">
        <f>_xlfn.CONCAT(sales_data_sample[[#This Row],[CONTACTLASTNAME]]," ",sales_data_sample[[#This Row],[CONTACTFIRSTNAME]])</f>
        <v>Keitel Roland</v>
      </c>
    </row>
    <row r="120" spans="1:20" x14ac:dyDescent="0.3">
      <c r="A120">
        <v>10310</v>
      </c>
      <c r="B120" t="s">
        <v>357</v>
      </c>
      <c r="C120" s="1">
        <v>38276</v>
      </c>
      <c r="D120" t="s">
        <v>53</v>
      </c>
      <c r="E120" t="s">
        <v>21</v>
      </c>
      <c r="F120">
        <v>33</v>
      </c>
      <c r="G120">
        <v>100</v>
      </c>
      <c r="H120">
        <v>6934.62</v>
      </c>
      <c r="I120">
        <v>10</v>
      </c>
      <c r="J120" t="s">
        <v>158</v>
      </c>
      <c r="K120">
        <v>194</v>
      </c>
      <c r="L120" t="s">
        <v>346</v>
      </c>
      <c r="M120" t="s">
        <v>358</v>
      </c>
      <c r="N120" t="s">
        <v>359</v>
      </c>
      <c r="O120" t="s">
        <v>360</v>
      </c>
      <c r="P120" t="s">
        <v>36</v>
      </c>
      <c r="Q120" t="s">
        <v>361</v>
      </c>
      <c r="R120" t="s">
        <v>362</v>
      </c>
      <c r="S120" t="s">
        <v>45</v>
      </c>
      <c r="T120" t="str">
        <f>_xlfn.CONCAT(sales_data_sample[[#This Row],[CONTACTLASTNAME]]," ",sales_data_sample[[#This Row],[CONTACTFIRSTNAME]])</f>
        <v>Pfalzheim Henriette</v>
      </c>
    </row>
    <row r="121" spans="1:20" x14ac:dyDescent="0.3">
      <c r="A121">
        <v>10320</v>
      </c>
      <c r="B121" t="s">
        <v>160</v>
      </c>
      <c r="C121" s="1">
        <v>38294</v>
      </c>
      <c r="D121" t="s">
        <v>62</v>
      </c>
      <c r="E121" t="s">
        <v>21</v>
      </c>
      <c r="F121">
        <v>31</v>
      </c>
      <c r="G121">
        <v>100</v>
      </c>
      <c r="H121">
        <v>6876.11</v>
      </c>
      <c r="I121">
        <v>3</v>
      </c>
      <c r="J121" t="s">
        <v>158</v>
      </c>
      <c r="K121">
        <v>194</v>
      </c>
      <c r="L121" t="s">
        <v>346</v>
      </c>
      <c r="M121" t="s">
        <v>161</v>
      </c>
      <c r="N121" t="s">
        <v>162</v>
      </c>
      <c r="O121" t="s">
        <v>163</v>
      </c>
      <c r="P121" t="s">
        <v>36</v>
      </c>
      <c r="Q121" t="s">
        <v>164</v>
      </c>
      <c r="R121" t="s">
        <v>165</v>
      </c>
      <c r="S121" t="s">
        <v>45</v>
      </c>
      <c r="T121" t="str">
        <f>_xlfn.CONCAT(sales_data_sample[[#This Row],[CONTACTLASTNAME]]," ",sales_data_sample[[#This Row],[CONTACTFIRSTNAME]])</f>
        <v>Berglund Christina</v>
      </c>
    </row>
    <row r="122" spans="1:20" x14ac:dyDescent="0.3">
      <c r="A122">
        <v>10363</v>
      </c>
      <c r="B122" t="s">
        <v>380</v>
      </c>
      <c r="C122" s="1">
        <v>38358</v>
      </c>
      <c r="D122" t="s">
        <v>77</v>
      </c>
      <c r="E122" t="s">
        <v>21</v>
      </c>
      <c r="F122">
        <v>33</v>
      </c>
      <c r="G122">
        <v>85.39</v>
      </c>
      <c r="H122">
        <v>2817.87</v>
      </c>
      <c r="I122">
        <v>3</v>
      </c>
      <c r="J122" t="s">
        <v>158</v>
      </c>
      <c r="K122">
        <v>194</v>
      </c>
      <c r="L122" t="s">
        <v>346</v>
      </c>
      <c r="M122" t="s">
        <v>381</v>
      </c>
      <c r="N122" t="s">
        <v>382</v>
      </c>
      <c r="O122" t="s">
        <v>115</v>
      </c>
      <c r="P122" t="s">
        <v>36</v>
      </c>
      <c r="Q122" t="s">
        <v>383</v>
      </c>
      <c r="R122" t="s">
        <v>384</v>
      </c>
      <c r="S122" t="s">
        <v>30</v>
      </c>
      <c r="T122" t="str">
        <f>_xlfn.CONCAT(sales_data_sample[[#This Row],[CONTACTLASTNAME]]," ",sales_data_sample[[#This Row],[CONTACTFIRSTNAME]])</f>
        <v>Suominen Kalle</v>
      </c>
    </row>
    <row r="123" spans="1:20" x14ac:dyDescent="0.3">
      <c r="A123">
        <v>10389</v>
      </c>
      <c r="B123" t="s">
        <v>220</v>
      </c>
      <c r="C123" s="1">
        <v>38414</v>
      </c>
      <c r="D123" t="s">
        <v>140</v>
      </c>
      <c r="E123" t="s">
        <v>21</v>
      </c>
      <c r="F123">
        <v>26</v>
      </c>
      <c r="G123">
        <v>99.04</v>
      </c>
      <c r="H123">
        <v>2575.04</v>
      </c>
      <c r="I123">
        <v>4</v>
      </c>
      <c r="J123" t="s">
        <v>158</v>
      </c>
      <c r="K123">
        <v>194</v>
      </c>
      <c r="L123" t="s">
        <v>346</v>
      </c>
      <c r="M123" t="s">
        <v>221</v>
      </c>
      <c r="N123" t="s">
        <v>222</v>
      </c>
      <c r="O123" t="s">
        <v>163</v>
      </c>
      <c r="P123" t="s">
        <v>36</v>
      </c>
      <c r="Q123" t="s">
        <v>223</v>
      </c>
      <c r="R123" t="s">
        <v>177</v>
      </c>
      <c r="S123" t="s">
        <v>30</v>
      </c>
      <c r="T123" t="str">
        <f>_xlfn.CONCAT(sales_data_sample[[#This Row],[CONTACTLASTNAME]]," ",sales_data_sample[[#This Row],[CONTACTFIRSTNAME]])</f>
        <v>Larsson Maria</v>
      </c>
    </row>
    <row r="124" spans="1:20" x14ac:dyDescent="0.3">
      <c r="A124">
        <v>10419</v>
      </c>
      <c r="B124" t="s">
        <v>127</v>
      </c>
      <c r="C124" s="1">
        <v>38489</v>
      </c>
      <c r="D124" t="s">
        <v>32</v>
      </c>
      <c r="E124" t="s">
        <v>21</v>
      </c>
      <c r="F124">
        <v>12</v>
      </c>
      <c r="G124">
        <v>100</v>
      </c>
      <c r="H124">
        <v>1961.28</v>
      </c>
      <c r="I124">
        <v>13</v>
      </c>
      <c r="J124" t="s">
        <v>158</v>
      </c>
      <c r="K124">
        <v>194</v>
      </c>
      <c r="L124" t="s">
        <v>346</v>
      </c>
      <c r="M124" t="s">
        <v>128</v>
      </c>
      <c r="N124" t="s">
        <v>129</v>
      </c>
      <c r="O124" t="s">
        <v>130</v>
      </c>
      <c r="P124" t="s">
        <v>36</v>
      </c>
      <c r="Q124" t="s">
        <v>131</v>
      </c>
      <c r="R124" t="s">
        <v>132</v>
      </c>
      <c r="S124" t="s">
        <v>30</v>
      </c>
      <c r="T124" t="str">
        <f>_xlfn.CONCAT(sales_data_sample[[#This Row],[CONTACTLASTNAME]]," ",sales_data_sample[[#This Row],[CONTACTFIRSTNAME]])</f>
        <v>Pipps Georg</v>
      </c>
    </row>
    <row r="125" spans="1:20" x14ac:dyDescent="0.3">
      <c r="A125">
        <v>10117</v>
      </c>
      <c r="B125" t="s">
        <v>170</v>
      </c>
      <c r="C125" s="1">
        <v>37727</v>
      </c>
      <c r="D125" t="s">
        <v>89</v>
      </c>
      <c r="E125" t="s">
        <v>21</v>
      </c>
      <c r="F125">
        <v>33</v>
      </c>
      <c r="G125">
        <v>100</v>
      </c>
      <c r="H125">
        <v>6034.38</v>
      </c>
      <c r="I125">
        <v>9</v>
      </c>
      <c r="J125" t="s">
        <v>158</v>
      </c>
      <c r="K125">
        <v>207</v>
      </c>
      <c r="L125" t="s">
        <v>385</v>
      </c>
      <c r="M125" t="s">
        <v>171</v>
      </c>
      <c r="N125" t="s">
        <v>172</v>
      </c>
      <c r="O125" t="s">
        <v>171</v>
      </c>
      <c r="P125" t="s">
        <v>173</v>
      </c>
      <c r="Q125" t="s">
        <v>174</v>
      </c>
      <c r="R125" t="s">
        <v>175</v>
      </c>
      <c r="S125" t="s">
        <v>45</v>
      </c>
      <c r="T125" t="str">
        <f>_xlfn.CONCAT(sales_data_sample[[#This Row],[CONTACTLASTNAME]]," ",sales_data_sample[[#This Row],[CONTACTFIRSTNAME]])</f>
        <v>Natividad Eric</v>
      </c>
    </row>
    <row r="126" spans="1:20" x14ac:dyDescent="0.3">
      <c r="A126">
        <v>10127</v>
      </c>
      <c r="B126" t="s">
        <v>386</v>
      </c>
      <c r="C126" s="1">
        <v>37775</v>
      </c>
      <c r="D126" t="s">
        <v>97</v>
      </c>
      <c r="E126" t="s">
        <v>21</v>
      </c>
      <c r="F126">
        <v>46</v>
      </c>
      <c r="G126">
        <v>100</v>
      </c>
      <c r="H126">
        <v>11279.2</v>
      </c>
      <c r="I126">
        <v>2</v>
      </c>
      <c r="J126" t="s">
        <v>158</v>
      </c>
      <c r="K126">
        <v>207</v>
      </c>
      <c r="L126" t="s">
        <v>385</v>
      </c>
      <c r="M126" t="s">
        <v>24</v>
      </c>
      <c r="N126" t="s">
        <v>25</v>
      </c>
      <c r="O126" t="s">
        <v>26</v>
      </c>
      <c r="P126" t="s">
        <v>27</v>
      </c>
      <c r="Q126" t="s">
        <v>50</v>
      </c>
      <c r="R126" t="s">
        <v>387</v>
      </c>
      <c r="S126" t="s">
        <v>133</v>
      </c>
      <c r="T126" t="str">
        <f>_xlfn.CONCAT(sales_data_sample[[#This Row],[CONTACTLASTNAME]]," ",sales_data_sample[[#This Row],[CONTACTFIRSTNAME]])</f>
        <v>Young Jeff</v>
      </c>
    </row>
    <row r="127" spans="1:20" x14ac:dyDescent="0.3">
      <c r="A127">
        <v>10142</v>
      </c>
      <c r="B127" t="s">
        <v>228</v>
      </c>
      <c r="C127" s="1">
        <v>37841</v>
      </c>
      <c r="D127" t="s">
        <v>47</v>
      </c>
      <c r="E127" t="s">
        <v>21</v>
      </c>
      <c r="F127">
        <v>33</v>
      </c>
      <c r="G127">
        <v>100</v>
      </c>
      <c r="H127">
        <v>8023.29</v>
      </c>
      <c r="I127">
        <v>12</v>
      </c>
      <c r="J127" t="s">
        <v>158</v>
      </c>
      <c r="K127">
        <v>207</v>
      </c>
      <c r="L127" t="s">
        <v>385</v>
      </c>
      <c r="M127" t="s">
        <v>229</v>
      </c>
      <c r="N127" t="s">
        <v>99</v>
      </c>
      <c r="O127" t="s">
        <v>26</v>
      </c>
      <c r="P127" t="s">
        <v>27</v>
      </c>
      <c r="Q127" t="s">
        <v>230</v>
      </c>
      <c r="R127" t="s">
        <v>231</v>
      </c>
      <c r="S127" t="s">
        <v>133</v>
      </c>
      <c r="T127" t="str">
        <f>_xlfn.CONCAT(sales_data_sample[[#This Row],[CONTACTLASTNAME]]," ",sales_data_sample[[#This Row],[CONTACTFIRSTNAME]])</f>
        <v>Nelson Valarie</v>
      </c>
    </row>
    <row r="128" spans="1:20" x14ac:dyDescent="0.3">
      <c r="A128">
        <v>10153</v>
      </c>
      <c r="B128" t="s">
        <v>151</v>
      </c>
      <c r="C128" s="1">
        <v>37892</v>
      </c>
      <c r="D128" t="s">
        <v>112</v>
      </c>
      <c r="E128" t="s">
        <v>21</v>
      </c>
      <c r="F128">
        <v>20</v>
      </c>
      <c r="G128">
        <v>100</v>
      </c>
      <c r="H128">
        <v>4904</v>
      </c>
      <c r="I128">
        <v>11</v>
      </c>
      <c r="J128" t="s">
        <v>158</v>
      </c>
      <c r="K128">
        <v>207</v>
      </c>
      <c r="L128" t="s">
        <v>385</v>
      </c>
      <c r="M128" t="s">
        <v>153</v>
      </c>
      <c r="N128" t="s">
        <v>154</v>
      </c>
      <c r="O128" t="s">
        <v>155</v>
      </c>
      <c r="P128" t="s">
        <v>36</v>
      </c>
      <c r="Q128" t="s">
        <v>156</v>
      </c>
      <c r="R128" t="s">
        <v>157</v>
      </c>
      <c r="S128" t="s">
        <v>45</v>
      </c>
      <c r="T128" t="str">
        <f>_xlfn.CONCAT(sales_data_sample[[#This Row],[CONTACTLASTNAME]]," ",sales_data_sample[[#This Row],[CONTACTFIRSTNAME]])</f>
        <v>Freyre Diego</v>
      </c>
    </row>
    <row r="129" spans="1:20" x14ac:dyDescent="0.3">
      <c r="A129">
        <v>10165</v>
      </c>
      <c r="B129" t="s">
        <v>170</v>
      </c>
      <c r="C129" s="1">
        <v>37916</v>
      </c>
      <c r="D129" t="s">
        <v>53</v>
      </c>
      <c r="E129" t="s">
        <v>21</v>
      </c>
      <c r="F129">
        <v>44</v>
      </c>
      <c r="G129">
        <v>100</v>
      </c>
      <c r="H129">
        <v>8594.52</v>
      </c>
      <c r="I129">
        <v>3</v>
      </c>
      <c r="J129" t="s">
        <v>158</v>
      </c>
      <c r="K129">
        <v>207</v>
      </c>
      <c r="L129" t="s">
        <v>385</v>
      </c>
      <c r="M129" t="s">
        <v>171</v>
      </c>
      <c r="N129" t="s">
        <v>172</v>
      </c>
      <c r="O129" t="s">
        <v>171</v>
      </c>
      <c r="P129" t="s">
        <v>173</v>
      </c>
      <c r="Q129" t="s">
        <v>174</v>
      </c>
      <c r="R129" t="s">
        <v>175</v>
      </c>
      <c r="S129" t="s">
        <v>133</v>
      </c>
      <c r="T129" t="str">
        <f>_xlfn.CONCAT(sales_data_sample[[#This Row],[CONTACTLASTNAME]]," ",sales_data_sample[[#This Row],[CONTACTFIRSTNAME]])</f>
        <v>Natividad Eric</v>
      </c>
    </row>
    <row r="130" spans="1:20" x14ac:dyDescent="0.3">
      <c r="A130">
        <v>10176</v>
      </c>
      <c r="B130" t="s">
        <v>368</v>
      </c>
      <c r="C130" s="1">
        <v>37931</v>
      </c>
      <c r="D130" t="s">
        <v>62</v>
      </c>
      <c r="E130" t="s">
        <v>21</v>
      </c>
      <c r="F130">
        <v>33</v>
      </c>
      <c r="G130">
        <v>100</v>
      </c>
      <c r="H130">
        <v>7474.5</v>
      </c>
      <c r="I130">
        <v>2</v>
      </c>
      <c r="J130" t="s">
        <v>158</v>
      </c>
      <c r="K130">
        <v>207</v>
      </c>
      <c r="L130" t="s">
        <v>385</v>
      </c>
      <c r="M130" t="s">
        <v>369</v>
      </c>
      <c r="N130" t="s">
        <v>370</v>
      </c>
      <c r="O130" t="s">
        <v>217</v>
      </c>
      <c r="P130" t="s">
        <v>36</v>
      </c>
      <c r="Q130" t="s">
        <v>371</v>
      </c>
      <c r="R130" t="s">
        <v>372</v>
      </c>
      <c r="S130" t="s">
        <v>133</v>
      </c>
      <c r="T130" t="str">
        <f>_xlfn.CONCAT(sales_data_sample[[#This Row],[CONTACTLASTNAME]]," ",sales_data_sample[[#This Row],[CONTACTFIRSTNAME]])</f>
        <v>Moroni Maurizio</v>
      </c>
    </row>
    <row r="131" spans="1:20" x14ac:dyDescent="0.3">
      <c r="A131">
        <v>10185</v>
      </c>
      <c r="B131" t="s">
        <v>276</v>
      </c>
      <c r="C131" s="1">
        <v>37939</v>
      </c>
      <c r="D131" t="s">
        <v>62</v>
      </c>
      <c r="E131" t="s">
        <v>21</v>
      </c>
      <c r="F131">
        <v>21</v>
      </c>
      <c r="G131">
        <v>100</v>
      </c>
      <c r="H131">
        <v>3883.74</v>
      </c>
      <c r="I131">
        <v>13</v>
      </c>
      <c r="J131" t="s">
        <v>158</v>
      </c>
      <c r="K131">
        <v>207</v>
      </c>
      <c r="L131" t="s">
        <v>385</v>
      </c>
      <c r="M131" t="s">
        <v>141</v>
      </c>
      <c r="N131" t="s">
        <v>142</v>
      </c>
      <c r="O131" t="s">
        <v>26</v>
      </c>
      <c r="P131" t="s">
        <v>27</v>
      </c>
      <c r="Q131" t="s">
        <v>277</v>
      </c>
      <c r="R131" t="s">
        <v>278</v>
      </c>
      <c r="S131" t="s">
        <v>45</v>
      </c>
      <c r="T131" t="str">
        <f>_xlfn.CONCAT(sales_data_sample[[#This Row],[CONTACTLASTNAME]]," ",sales_data_sample[[#This Row],[CONTACTFIRSTNAME]])</f>
        <v>Tam Wing C</v>
      </c>
    </row>
    <row r="132" spans="1:20" x14ac:dyDescent="0.3">
      <c r="A132">
        <v>10196</v>
      </c>
      <c r="B132" t="s">
        <v>205</v>
      </c>
      <c r="C132" s="1">
        <v>37951</v>
      </c>
      <c r="D132" t="s">
        <v>62</v>
      </c>
      <c r="E132" t="s">
        <v>21</v>
      </c>
      <c r="F132">
        <v>47</v>
      </c>
      <c r="G132">
        <v>100</v>
      </c>
      <c r="H132">
        <v>8887.7000000000007</v>
      </c>
      <c r="I132">
        <v>5</v>
      </c>
      <c r="J132" t="s">
        <v>158</v>
      </c>
      <c r="K132">
        <v>207</v>
      </c>
      <c r="L132" t="s">
        <v>385</v>
      </c>
      <c r="M132" t="s">
        <v>206</v>
      </c>
      <c r="N132" t="s">
        <v>207</v>
      </c>
      <c r="O132" t="s">
        <v>26</v>
      </c>
      <c r="P132" t="s">
        <v>27</v>
      </c>
      <c r="Q132" t="s">
        <v>75</v>
      </c>
      <c r="R132" t="s">
        <v>208</v>
      </c>
      <c r="S132" t="s">
        <v>133</v>
      </c>
      <c r="T132" t="str">
        <f>_xlfn.CONCAT(sales_data_sample[[#This Row],[CONTACTLASTNAME]]," ",sales_data_sample[[#This Row],[CONTACTFIRSTNAME]])</f>
        <v>Murphy Leslie</v>
      </c>
    </row>
    <row r="133" spans="1:20" x14ac:dyDescent="0.3">
      <c r="A133">
        <v>10208</v>
      </c>
      <c r="B133" t="s">
        <v>188</v>
      </c>
      <c r="C133" s="1">
        <v>37988</v>
      </c>
      <c r="D133" t="s">
        <v>77</v>
      </c>
      <c r="E133" t="s">
        <v>21</v>
      </c>
      <c r="F133">
        <v>46</v>
      </c>
      <c r="G133">
        <v>100</v>
      </c>
      <c r="H133">
        <v>8602.92</v>
      </c>
      <c r="I133">
        <v>13</v>
      </c>
      <c r="J133" t="s">
        <v>158</v>
      </c>
      <c r="K133">
        <v>207</v>
      </c>
      <c r="L133" t="s">
        <v>385</v>
      </c>
      <c r="M133" t="s">
        <v>189</v>
      </c>
      <c r="N133" t="s">
        <v>190</v>
      </c>
      <c r="O133" t="s">
        <v>35</v>
      </c>
      <c r="P133" t="s">
        <v>36</v>
      </c>
      <c r="Q133" t="s">
        <v>191</v>
      </c>
      <c r="R133" t="s">
        <v>192</v>
      </c>
      <c r="S133" t="s">
        <v>133</v>
      </c>
      <c r="T133" t="str">
        <f>_xlfn.CONCAT(sales_data_sample[[#This Row],[CONTACTLASTNAME]]," ",sales_data_sample[[#This Row],[CONTACTFIRSTNAME]])</f>
        <v>Saveley Mary</v>
      </c>
    </row>
    <row r="134" spans="1:20" x14ac:dyDescent="0.3">
      <c r="A134">
        <v>10220</v>
      </c>
      <c r="B134" t="s">
        <v>388</v>
      </c>
      <c r="C134" s="1">
        <v>38029</v>
      </c>
      <c r="D134" t="s">
        <v>20</v>
      </c>
      <c r="E134" t="s">
        <v>21</v>
      </c>
      <c r="F134">
        <v>32</v>
      </c>
      <c r="G134">
        <v>100</v>
      </c>
      <c r="H134">
        <v>7181.44</v>
      </c>
      <c r="I134">
        <v>2</v>
      </c>
      <c r="J134" t="s">
        <v>158</v>
      </c>
      <c r="K134">
        <v>207</v>
      </c>
      <c r="L134" t="s">
        <v>385</v>
      </c>
      <c r="M134" t="s">
        <v>389</v>
      </c>
      <c r="N134" t="s">
        <v>390</v>
      </c>
      <c r="O134" t="s">
        <v>391</v>
      </c>
      <c r="P134" t="s">
        <v>36</v>
      </c>
      <c r="Q134" t="s">
        <v>392</v>
      </c>
      <c r="R134" t="s">
        <v>393</v>
      </c>
      <c r="S134" t="s">
        <v>133</v>
      </c>
      <c r="T134" t="str">
        <f>_xlfn.CONCAT(sales_data_sample[[#This Row],[CONTACTLASTNAME]]," ",sales_data_sample[[#This Row],[CONTACTFIRSTNAME]])</f>
        <v>Cassidy Dean</v>
      </c>
    </row>
    <row r="135" spans="1:20" x14ac:dyDescent="0.3">
      <c r="A135">
        <v>10231</v>
      </c>
      <c r="B135" t="s">
        <v>394</v>
      </c>
      <c r="C135" s="1">
        <v>38065</v>
      </c>
      <c r="D135" t="s">
        <v>140</v>
      </c>
      <c r="E135" t="s">
        <v>21</v>
      </c>
      <c r="F135">
        <v>42</v>
      </c>
      <c r="G135">
        <v>100</v>
      </c>
      <c r="H135">
        <v>8378.58</v>
      </c>
      <c r="I135">
        <v>2</v>
      </c>
      <c r="J135" t="s">
        <v>158</v>
      </c>
      <c r="K135">
        <v>207</v>
      </c>
      <c r="L135" t="s">
        <v>385</v>
      </c>
      <c r="M135" t="s">
        <v>153</v>
      </c>
      <c r="N135" t="s">
        <v>167</v>
      </c>
      <c r="O135" t="s">
        <v>155</v>
      </c>
      <c r="P135" t="s">
        <v>36</v>
      </c>
      <c r="Q135" t="s">
        <v>395</v>
      </c>
      <c r="R135" t="s">
        <v>396</v>
      </c>
      <c r="S135" t="s">
        <v>133</v>
      </c>
      <c r="T135" t="str">
        <f>_xlfn.CONCAT(sales_data_sample[[#This Row],[CONTACTLASTNAME]]," ",sales_data_sample[[#This Row],[CONTACTFIRSTNAME]])</f>
        <v>Fernandez Jesus</v>
      </c>
    </row>
    <row r="136" spans="1:20" x14ac:dyDescent="0.3">
      <c r="A136">
        <v>10247</v>
      </c>
      <c r="B136" t="s">
        <v>380</v>
      </c>
      <c r="C136" s="1">
        <v>38112</v>
      </c>
      <c r="D136" t="s">
        <v>32</v>
      </c>
      <c r="E136" t="s">
        <v>21</v>
      </c>
      <c r="F136">
        <v>44</v>
      </c>
      <c r="G136">
        <v>100</v>
      </c>
      <c r="H136">
        <v>10606.2</v>
      </c>
      <c r="I136">
        <v>2</v>
      </c>
      <c r="J136" t="s">
        <v>158</v>
      </c>
      <c r="K136">
        <v>207</v>
      </c>
      <c r="L136" t="s">
        <v>385</v>
      </c>
      <c r="M136" t="s">
        <v>381</v>
      </c>
      <c r="N136" t="s">
        <v>382</v>
      </c>
      <c r="O136" t="s">
        <v>115</v>
      </c>
      <c r="P136" t="s">
        <v>36</v>
      </c>
      <c r="Q136" t="s">
        <v>383</v>
      </c>
      <c r="R136" t="s">
        <v>384</v>
      </c>
      <c r="S136" t="s">
        <v>133</v>
      </c>
      <c r="T136" t="str">
        <f>_xlfn.CONCAT(sales_data_sample[[#This Row],[CONTACTLASTNAME]]," ",sales_data_sample[[#This Row],[CONTACTFIRSTNAME]])</f>
        <v>Suominen Kalle</v>
      </c>
    </row>
    <row r="137" spans="1:20" x14ac:dyDescent="0.3">
      <c r="A137">
        <v>10272</v>
      </c>
      <c r="B137" t="s">
        <v>123</v>
      </c>
      <c r="C137" s="1">
        <v>38188</v>
      </c>
      <c r="D137" t="s">
        <v>40</v>
      </c>
      <c r="E137" t="s">
        <v>21</v>
      </c>
      <c r="F137">
        <v>35</v>
      </c>
      <c r="G137">
        <v>100</v>
      </c>
      <c r="H137">
        <v>5818.4</v>
      </c>
      <c r="I137">
        <v>2</v>
      </c>
      <c r="J137" t="s">
        <v>158</v>
      </c>
      <c r="K137">
        <v>207</v>
      </c>
      <c r="L137" t="s">
        <v>385</v>
      </c>
      <c r="M137" t="s">
        <v>124</v>
      </c>
      <c r="N137" t="s">
        <v>125</v>
      </c>
      <c r="O137" t="s">
        <v>26</v>
      </c>
      <c r="P137" t="s">
        <v>27</v>
      </c>
      <c r="Q137" t="s">
        <v>28</v>
      </c>
      <c r="R137" t="s">
        <v>126</v>
      </c>
      <c r="S137" t="s">
        <v>45</v>
      </c>
      <c r="T137" t="str">
        <f>_xlfn.CONCAT(sales_data_sample[[#This Row],[CONTACTLASTNAME]]," ",sales_data_sample[[#This Row],[CONTACTFIRSTNAME]])</f>
        <v>Yu Kyung</v>
      </c>
    </row>
    <row r="138" spans="1:20" x14ac:dyDescent="0.3">
      <c r="A138">
        <v>10282</v>
      </c>
      <c r="B138" t="s">
        <v>228</v>
      </c>
      <c r="C138" s="1">
        <v>38219</v>
      </c>
      <c r="D138" t="s">
        <v>47</v>
      </c>
      <c r="E138" t="s">
        <v>21</v>
      </c>
      <c r="F138">
        <v>41</v>
      </c>
      <c r="G138">
        <v>100</v>
      </c>
      <c r="H138">
        <v>7071.27</v>
      </c>
      <c r="I138">
        <v>5</v>
      </c>
      <c r="J138" t="s">
        <v>158</v>
      </c>
      <c r="K138">
        <v>207</v>
      </c>
      <c r="L138" t="s">
        <v>385</v>
      </c>
      <c r="M138" t="s">
        <v>229</v>
      </c>
      <c r="N138" t="s">
        <v>99</v>
      </c>
      <c r="O138" t="s">
        <v>26</v>
      </c>
      <c r="P138" t="s">
        <v>27</v>
      </c>
      <c r="Q138" t="s">
        <v>230</v>
      </c>
      <c r="R138" t="s">
        <v>231</v>
      </c>
      <c r="S138" t="s">
        <v>133</v>
      </c>
      <c r="T138" t="str">
        <f>_xlfn.CONCAT(sales_data_sample[[#This Row],[CONTACTLASTNAME]]," ",sales_data_sample[[#This Row],[CONTACTFIRSTNAME]])</f>
        <v>Nelson Valarie</v>
      </c>
    </row>
    <row r="139" spans="1:20" x14ac:dyDescent="0.3">
      <c r="A139">
        <v>10293</v>
      </c>
      <c r="B139" t="s">
        <v>214</v>
      </c>
      <c r="C139" s="1">
        <v>38239</v>
      </c>
      <c r="D139" t="s">
        <v>112</v>
      </c>
      <c r="E139" t="s">
        <v>21</v>
      </c>
      <c r="F139">
        <v>46</v>
      </c>
      <c r="G139">
        <v>100</v>
      </c>
      <c r="H139">
        <v>8411.56</v>
      </c>
      <c r="I139">
        <v>8</v>
      </c>
      <c r="J139" t="s">
        <v>158</v>
      </c>
      <c r="K139">
        <v>207</v>
      </c>
      <c r="L139" t="s">
        <v>385</v>
      </c>
      <c r="M139" t="s">
        <v>215</v>
      </c>
      <c r="N139" t="s">
        <v>216</v>
      </c>
      <c r="O139" t="s">
        <v>217</v>
      </c>
      <c r="P139" t="s">
        <v>36</v>
      </c>
      <c r="Q139" t="s">
        <v>218</v>
      </c>
      <c r="R139" t="s">
        <v>219</v>
      </c>
      <c r="S139" t="s">
        <v>133</v>
      </c>
      <c r="T139" t="str">
        <f>_xlfn.CONCAT(sales_data_sample[[#This Row],[CONTACTLASTNAME]]," ",sales_data_sample[[#This Row],[CONTACTFIRSTNAME]])</f>
        <v>Accorti Paolo</v>
      </c>
    </row>
    <row r="140" spans="1:20" x14ac:dyDescent="0.3">
      <c r="A140">
        <v>10306</v>
      </c>
      <c r="B140" t="s">
        <v>397</v>
      </c>
      <c r="C140" s="1">
        <v>38274</v>
      </c>
      <c r="D140" t="s">
        <v>53</v>
      </c>
      <c r="E140" t="s">
        <v>21</v>
      </c>
      <c r="F140">
        <v>31</v>
      </c>
      <c r="G140">
        <v>100</v>
      </c>
      <c r="H140">
        <v>6570.76</v>
      </c>
      <c r="I140">
        <v>13</v>
      </c>
      <c r="J140" t="s">
        <v>158</v>
      </c>
      <c r="K140">
        <v>207</v>
      </c>
      <c r="L140" t="s">
        <v>385</v>
      </c>
      <c r="M140" t="s">
        <v>398</v>
      </c>
      <c r="N140" t="s">
        <v>399</v>
      </c>
      <c r="O140" t="s">
        <v>148</v>
      </c>
      <c r="P140" t="s">
        <v>36</v>
      </c>
      <c r="Q140" t="s">
        <v>400</v>
      </c>
      <c r="R140" t="s">
        <v>401</v>
      </c>
      <c r="S140" t="s">
        <v>45</v>
      </c>
      <c r="T140" t="str">
        <f>_xlfn.CONCAT(sales_data_sample[[#This Row],[CONTACTLASTNAME]]," ",sales_data_sample[[#This Row],[CONTACTFIRSTNAME]])</f>
        <v>Ashworth Victoria</v>
      </c>
    </row>
    <row r="141" spans="1:20" x14ac:dyDescent="0.3">
      <c r="A141">
        <v>10314</v>
      </c>
      <c r="B141" t="s">
        <v>402</v>
      </c>
      <c r="C141" s="1">
        <v>38282</v>
      </c>
      <c r="D141" t="s">
        <v>53</v>
      </c>
      <c r="E141" t="s">
        <v>21</v>
      </c>
      <c r="F141">
        <v>38</v>
      </c>
      <c r="G141">
        <v>100</v>
      </c>
      <c r="H141">
        <v>7975.44</v>
      </c>
      <c r="I141">
        <v>5</v>
      </c>
      <c r="J141" t="s">
        <v>158</v>
      </c>
      <c r="K141">
        <v>207</v>
      </c>
      <c r="L141" t="s">
        <v>385</v>
      </c>
      <c r="M141" t="s">
        <v>403</v>
      </c>
      <c r="N141" t="s">
        <v>404</v>
      </c>
      <c r="O141" t="s">
        <v>269</v>
      </c>
      <c r="P141" t="s">
        <v>36</v>
      </c>
      <c r="Q141" t="s">
        <v>405</v>
      </c>
      <c r="R141" t="s">
        <v>406</v>
      </c>
      <c r="S141" t="s">
        <v>133</v>
      </c>
      <c r="T141" t="str">
        <f>_xlfn.CONCAT(sales_data_sample[[#This Row],[CONTACTLASTNAME]]," ",sales_data_sample[[#This Row],[CONTACTFIRSTNAME]])</f>
        <v>Ibsen Palle</v>
      </c>
    </row>
    <row r="142" spans="1:20" x14ac:dyDescent="0.3">
      <c r="A142">
        <v>10336</v>
      </c>
      <c r="B142" t="s">
        <v>328</v>
      </c>
      <c r="C142" s="1">
        <v>38311</v>
      </c>
      <c r="D142" t="s">
        <v>62</v>
      </c>
      <c r="E142" t="s">
        <v>21</v>
      </c>
      <c r="F142">
        <v>33</v>
      </c>
      <c r="G142">
        <v>57.22</v>
      </c>
      <c r="H142">
        <v>1888.26</v>
      </c>
      <c r="I142">
        <v>10</v>
      </c>
      <c r="J142" t="s">
        <v>158</v>
      </c>
      <c r="K142">
        <v>207</v>
      </c>
      <c r="L142" t="s">
        <v>385</v>
      </c>
      <c r="M142" t="s">
        <v>41</v>
      </c>
      <c r="N142" t="s">
        <v>330</v>
      </c>
      <c r="O142" t="s">
        <v>35</v>
      </c>
      <c r="P142" t="s">
        <v>36</v>
      </c>
      <c r="Q142" t="s">
        <v>331</v>
      </c>
      <c r="R142" t="s">
        <v>332</v>
      </c>
      <c r="S142" t="s">
        <v>30</v>
      </c>
      <c r="T142" t="str">
        <f>_xlfn.CONCAT(sales_data_sample[[#This Row],[CONTACTLASTNAME]]," ",sales_data_sample[[#This Row],[CONTACTFIRSTNAME]])</f>
        <v>Bertrand Marie</v>
      </c>
    </row>
    <row r="143" spans="1:20" x14ac:dyDescent="0.3">
      <c r="A143">
        <v>10348</v>
      </c>
      <c r="B143" t="s">
        <v>166</v>
      </c>
      <c r="C143" s="1">
        <v>38292</v>
      </c>
      <c r="D143" t="s">
        <v>62</v>
      </c>
      <c r="E143" t="s">
        <v>21</v>
      </c>
      <c r="F143">
        <v>48</v>
      </c>
      <c r="G143">
        <v>52.36</v>
      </c>
      <c r="H143">
        <v>2513.2800000000002</v>
      </c>
      <c r="I143">
        <v>8</v>
      </c>
      <c r="J143" t="s">
        <v>158</v>
      </c>
      <c r="K143">
        <v>207</v>
      </c>
      <c r="L143" t="s">
        <v>385</v>
      </c>
      <c r="M143" t="s">
        <v>153</v>
      </c>
      <c r="N143" t="s">
        <v>167</v>
      </c>
      <c r="O143" t="s">
        <v>155</v>
      </c>
      <c r="P143" t="s">
        <v>36</v>
      </c>
      <c r="Q143" t="s">
        <v>168</v>
      </c>
      <c r="R143" t="s">
        <v>169</v>
      </c>
      <c r="S143" t="s">
        <v>30</v>
      </c>
      <c r="T143" t="str">
        <f>_xlfn.CONCAT(sales_data_sample[[#This Row],[CONTACTLASTNAME]]," ",sales_data_sample[[#This Row],[CONTACTFIRSTNAME]])</f>
        <v>Sommer Mart¡n</v>
      </c>
    </row>
    <row r="144" spans="1:20" x14ac:dyDescent="0.3">
      <c r="A144">
        <v>10371</v>
      </c>
      <c r="B144" t="s">
        <v>228</v>
      </c>
      <c r="C144" s="1">
        <v>38375</v>
      </c>
      <c r="D144" t="s">
        <v>77</v>
      </c>
      <c r="E144" t="s">
        <v>21</v>
      </c>
      <c r="F144">
        <v>32</v>
      </c>
      <c r="G144">
        <v>100</v>
      </c>
      <c r="H144">
        <v>3560.64</v>
      </c>
      <c r="I144">
        <v>6</v>
      </c>
      <c r="J144" t="s">
        <v>158</v>
      </c>
      <c r="K144">
        <v>207</v>
      </c>
      <c r="L144" t="s">
        <v>385</v>
      </c>
      <c r="M144" t="s">
        <v>229</v>
      </c>
      <c r="N144" t="s">
        <v>99</v>
      </c>
      <c r="O144" t="s">
        <v>26</v>
      </c>
      <c r="P144" t="s">
        <v>27</v>
      </c>
      <c r="Q144" t="s">
        <v>230</v>
      </c>
      <c r="R144" t="s">
        <v>231</v>
      </c>
      <c r="S144" t="s">
        <v>45</v>
      </c>
      <c r="T144" t="str">
        <f>_xlfn.CONCAT(sales_data_sample[[#This Row],[CONTACTLASTNAME]]," ",sales_data_sample[[#This Row],[CONTACTFIRSTNAME]])</f>
        <v>Nelson Valarie</v>
      </c>
    </row>
    <row r="145" spans="1:20" x14ac:dyDescent="0.3">
      <c r="A145">
        <v>10382</v>
      </c>
      <c r="B145" t="s">
        <v>228</v>
      </c>
      <c r="C145" s="1">
        <v>38400</v>
      </c>
      <c r="D145" t="s">
        <v>20</v>
      </c>
      <c r="E145" t="s">
        <v>21</v>
      </c>
      <c r="F145">
        <v>34</v>
      </c>
      <c r="G145">
        <v>100</v>
      </c>
      <c r="H145">
        <v>3823.64</v>
      </c>
      <c r="I145">
        <v>10</v>
      </c>
      <c r="J145" t="s">
        <v>158</v>
      </c>
      <c r="K145">
        <v>207</v>
      </c>
      <c r="L145" t="s">
        <v>385</v>
      </c>
      <c r="M145" t="s">
        <v>229</v>
      </c>
      <c r="N145" t="s">
        <v>99</v>
      </c>
      <c r="O145" t="s">
        <v>26</v>
      </c>
      <c r="P145" t="s">
        <v>27</v>
      </c>
      <c r="Q145" t="s">
        <v>230</v>
      </c>
      <c r="R145" t="s">
        <v>231</v>
      </c>
      <c r="S145" t="s">
        <v>45</v>
      </c>
      <c r="T145" t="str">
        <f>_xlfn.CONCAT(sales_data_sample[[#This Row],[CONTACTLASTNAME]]," ",sales_data_sample[[#This Row],[CONTACTFIRSTNAME]])</f>
        <v>Nelson Valarie</v>
      </c>
    </row>
    <row r="146" spans="1:20" x14ac:dyDescent="0.3">
      <c r="A146">
        <v>10413</v>
      </c>
      <c r="B146" t="s">
        <v>96</v>
      </c>
      <c r="C146" s="1">
        <v>38477</v>
      </c>
      <c r="D146" t="s">
        <v>32</v>
      </c>
      <c r="E146" t="s">
        <v>21</v>
      </c>
      <c r="F146">
        <v>36</v>
      </c>
      <c r="G146">
        <v>100</v>
      </c>
      <c r="H146">
        <v>8677.7999999999993</v>
      </c>
      <c r="I146">
        <v>2</v>
      </c>
      <c r="J146" t="s">
        <v>158</v>
      </c>
      <c r="K146">
        <v>207</v>
      </c>
      <c r="L146" t="s">
        <v>385</v>
      </c>
      <c r="M146" t="s">
        <v>98</v>
      </c>
      <c r="N146" t="s">
        <v>99</v>
      </c>
      <c r="O146" t="s">
        <v>26</v>
      </c>
      <c r="P146" t="s">
        <v>27</v>
      </c>
      <c r="Q146" t="s">
        <v>100</v>
      </c>
      <c r="R146" t="s">
        <v>51</v>
      </c>
      <c r="S146" t="s">
        <v>133</v>
      </c>
      <c r="T146" t="str">
        <f>_xlfn.CONCAT(sales_data_sample[[#This Row],[CONTACTLASTNAME]]," ",sales_data_sample[[#This Row],[CONTACTFIRSTNAME]])</f>
        <v>King Julie</v>
      </c>
    </row>
    <row r="147" spans="1:20" x14ac:dyDescent="0.3">
      <c r="A147">
        <v>10113</v>
      </c>
      <c r="B147" t="s">
        <v>228</v>
      </c>
      <c r="C147" s="1">
        <v>37706</v>
      </c>
      <c r="D147" t="s">
        <v>140</v>
      </c>
      <c r="E147" t="s">
        <v>21</v>
      </c>
      <c r="F147">
        <v>21</v>
      </c>
      <c r="G147">
        <v>100</v>
      </c>
      <c r="H147">
        <v>3415.44</v>
      </c>
      <c r="I147">
        <v>2</v>
      </c>
      <c r="J147" t="s">
        <v>407</v>
      </c>
      <c r="K147">
        <v>136</v>
      </c>
      <c r="L147" t="s">
        <v>408</v>
      </c>
      <c r="M147" t="s">
        <v>229</v>
      </c>
      <c r="N147" t="s">
        <v>99</v>
      </c>
      <c r="O147" t="s">
        <v>26</v>
      </c>
      <c r="P147" t="s">
        <v>27</v>
      </c>
      <c r="Q147" t="s">
        <v>230</v>
      </c>
      <c r="R147" t="s">
        <v>231</v>
      </c>
      <c r="S147" t="s">
        <v>45</v>
      </c>
      <c r="T147" t="str">
        <f>_xlfn.CONCAT(sales_data_sample[[#This Row],[CONTACTLASTNAME]]," ",sales_data_sample[[#This Row],[CONTACTFIRSTNAME]])</f>
        <v>Nelson Valarie</v>
      </c>
    </row>
    <row r="148" spans="1:20" x14ac:dyDescent="0.3">
      <c r="A148">
        <v>10216</v>
      </c>
      <c r="B148" t="s">
        <v>224</v>
      </c>
      <c r="C148" s="1">
        <v>38019</v>
      </c>
      <c r="D148" t="s">
        <v>20</v>
      </c>
      <c r="E148" t="s">
        <v>21</v>
      </c>
      <c r="F148">
        <v>43</v>
      </c>
      <c r="G148">
        <v>100</v>
      </c>
      <c r="H148">
        <v>5759.42</v>
      </c>
      <c r="I148">
        <v>1</v>
      </c>
      <c r="J148" t="s">
        <v>407</v>
      </c>
      <c r="K148">
        <v>136</v>
      </c>
      <c r="L148" t="s">
        <v>408</v>
      </c>
      <c r="M148" t="s">
        <v>225</v>
      </c>
      <c r="N148" t="s">
        <v>226</v>
      </c>
      <c r="O148" t="s">
        <v>35</v>
      </c>
      <c r="P148" t="s">
        <v>36</v>
      </c>
      <c r="Q148" t="s">
        <v>227</v>
      </c>
      <c r="R148" t="s">
        <v>44</v>
      </c>
      <c r="S148" t="s">
        <v>45</v>
      </c>
      <c r="T148" t="str">
        <f>_xlfn.CONCAT(sales_data_sample[[#This Row],[CONTACTLASTNAME]]," ",sales_data_sample[[#This Row],[CONTACTFIRSTNAME]])</f>
        <v>Tonini Daniel</v>
      </c>
    </row>
    <row r="149" spans="1:20" x14ac:dyDescent="0.3">
      <c r="A149">
        <v>10189</v>
      </c>
      <c r="B149" t="s">
        <v>46</v>
      </c>
      <c r="C149" s="1">
        <v>37943</v>
      </c>
      <c r="D149" t="s">
        <v>62</v>
      </c>
      <c r="E149" t="s">
        <v>21</v>
      </c>
      <c r="F149">
        <v>28</v>
      </c>
      <c r="G149">
        <v>100</v>
      </c>
      <c r="H149">
        <v>4512.4799999999996</v>
      </c>
      <c r="I149">
        <v>1</v>
      </c>
      <c r="J149" t="s">
        <v>22</v>
      </c>
      <c r="K149">
        <v>150</v>
      </c>
      <c r="L149" t="s">
        <v>409</v>
      </c>
      <c r="M149" t="s">
        <v>48</v>
      </c>
      <c r="N149" t="s">
        <v>49</v>
      </c>
      <c r="O149" t="s">
        <v>26</v>
      </c>
      <c r="P149" t="s">
        <v>27</v>
      </c>
      <c r="Q149" t="s">
        <v>50</v>
      </c>
      <c r="R149" t="s">
        <v>51</v>
      </c>
      <c r="S149" t="s">
        <v>45</v>
      </c>
      <c r="T149" t="str">
        <f>_xlfn.CONCAT(sales_data_sample[[#This Row],[CONTACTLASTNAME]]," ",sales_data_sample[[#This Row],[CONTACTFIRSTNAME]])</f>
        <v>Young Julie</v>
      </c>
    </row>
    <row r="150" spans="1:20" x14ac:dyDescent="0.3">
      <c r="A150">
        <v>10224</v>
      </c>
      <c r="B150" t="s">
        <v>61</v>
      </c>
      <c r="C150" s="1">
        <v>38038</v>
      </c>
      <c r="D150" t="s">
        <v>20</v>
      </c>
      <c r="E150" t="s">
        <v>21</v>
      </c>
      <c r="F150">
        <v>43</v>
      </c>
      <c r="G150">
        <v>100</v>
      </c>
      <c r="H150">
        <v>6087.94</v>
      </c>
      <c r="I150">
        <v>6</v>
      </c>
      <c r="J150" t="s">
        <v>22</v>
      </c>
      <c r="K150">
        <v>150</v>
      </c>
      <c r="L150" t="s">
        <v>409</v>
      </c>
      <c r="M150" t="s">
        <v>63</v>
      </c>
      <c r="N150" t="s">
        <v>64</v>
      </c>
      <c r="O150" t="s">
        <v>35</v>
      </c>
      <c r="P150" t="s">
        <v>36</v>
      </c>
      <c r="Q150" t="s">
        <v>65</v>
      </c>
      <c r="R150" t="s">
        <v>66</v>
      </c>
      <c r="S150" t="s">
        <v>45</v>
      </c>
      <c r="T150" t="str">
        <f>_xlfn.CONCAT(sales_data_sample[[#This Row],[CONTACTLASTNAME]]," ",sales_data_sample[[#This Row],[CONTACTFIRSTNAME]])</f>
        <v>Rance Martine</v>
      </c>
    </row>
    <row r="151" spans="1:20" x14ac:dyDescent="0.3">
      <c r="A151">
        <v>10319</v>
      </c>
      <c r="B151" t="s">
        <v>410</v>
      </c>
      <c r="C151" s="1">
        <v>38294</v>
      </c>
      <c r="D151" t="s">
        <v>62</v>
      </c>
      <c r="E151" t="s">
        <v>21</v>
      </c>
      <c r="F151">
        <v>30</v>
      </c>
      <c r="G151">
        <v>100</v>
      </c>
      <c r="H151">
        <v>4111.8</v>
      </c>
      <c r="I151">
        <v>9</v>
      </c>
      <c r="J151" t="s">
        <v>22</v>
      </c>
      <c r="K151">
        <v>150</v>
      </c>
      <c r="L151" t="s">
        <v>409</v>
      </c>
      <c r="M151" t="s">
        <v>24</v>
      </c>
      <c r="N151" t="s">
        <v>25</v>
      </c>
      <c r="O151" t="s">
        <v>26</v>
      </c>
      <c r="P151" t="s">
        <v>27</v>
      </c>
      <c r="Q151" t="s">
        <v>411</v>
      </c>
      <c r="R151" t="s">
        <v>412</v>
      </c>
      <c r="S151" t="s">
        <v>45</v>
      </c>
      <c r="T151" t="str">
        <f>_xlfn.CONCAT(sales_data_sample[[#This Row],[CONTACTLASTNAME]]," ",sales_data_sample[[#This Row],[CONTACTFIRSTNAME]])</f>
        <v>Kuo Kee</v>
      </c>
    </row>
    <row r="152" spans="1:20" x14ac:dyDescent="0.3">
      <c r="A152">
        <v>10104</v>
      </c>
      <c r="B152" t="s">
        <v>151</v>
      </c>
      <c r="C152" s="1">
        <v>37652</v>
      </c>
      <c r="D152" t="s">
        <v>77</v>
      </c>
      <c r="E152" t="s">
        <v>21</v>
      </c>
      <c r="F152">
        <v>34</v>
      </c>
      <c r="G152">
        <v>100</v>
      </c>
      <c r="H152">
        <v>5958.5</v>
      </c>
      <c r="I152">
        <v>1</v>
      </c>
      <c r="J152" t="s">
        <v>158</v>
      </c>
      <c r="K152">
        <v>151</v>
      </c>
      <c r="L152" t="s">
        <v>413</v>
      </c>
      <c r="M152" t="s">
        <v>153</v>
      </c>
      <c r="N152" t="s">
        <v>154</v>
      </c>
      <c r="O152" t="s">
        <v>155</v>
      </c>
      <c r="P152" t="s">
        <v>36</v>
      </c>
      <c r="Q152" t="s">
        <v>156</v>
      </c>
      <c r="R152" t="s">
        <v>157</v>
      </c>
      <c r="S152" t="s">
        <v>45</v>
      </c>
      <c r="T152" t="str">
        <f>_xlfn.CONCAT(sales_data_sample[[#This Row],[CONTACTLASTNAME]]," ",sales_data_sample[[#This Row],[CONTACTFIRSTNAME]])</f>
        <v>Freyre Diego</v>
      </c>
    </row>
    <row r="153" spans="1:20" x14ac:dyDescent="0.3">
      <c r="A153">
        <v>10230</v>
      </c>
      <c r="B153" t="s">
        <v>376</v>
      </c>
      <c r="C153" s="1">
        <v>38061</v>
      </c>
      <c r="D153" t="s">
        <v>140</v>
      </c>
      <c r="E153" t="s">
        <v>21</v>
      </c>
      <c r="F153">
        <v>43</v>
      </c>
      <c r="G153">
        <v>100</v>
      </c>
      <c r="H153">
        <v>7016.31</v>
      </c>
      <c r="I153">
        <v>1</v>
      </c>
      <c r="J153" t="s">
        <v>158</v>
      </c>
      <c r="K153">
        <v>151</v>
      </c>
      <c r="L153" t="s">
        <v>413</v>
      </c>
      <c r="M153" t="s">
        <v>377</v>
      </c>
      <c r="N153" t="s">
        <v>378</v>
      </c>
      <c r="O153" t="s">
        <v>360</v>
      </c>
      <c r="P153" t="s">
        <v>36</v>
      </c>
      <c r="Q153" t="s">
        <v>379</v>
      </c>
      <c r="R153" t="s">
        <v>338</v>
      </c>
      <c r="S153" t="s">
        <v>133</v>
      </c>
      <c r="T153" t="str">
        <f>_xlfn.CONCAT(sales_data_sample[[#This Row],[CONTACTLASTNAME]]," ",sales_data_sample[[#This Row],[CONTACTFIRSTNAME]])</f>
        <v>Keitel Roland</v>
      </c>
    </row>
    <row r="154" spans="1:20" x14ac:dyDescent="0.3">
      <c r="A154">
        <v>10324</v>
      </c>
      <c r="B154" t="s">
        <v>88</v>
      </c>
      <c r="C154" s="1">
        <v>38296</v>
      </c>
      <c r="D154" t="s">
        <v>62</v>
      </c>
      <c r="E154" t="s">
        <v>21</v>
      </c>
      <c r="F154">
        <v>27</v>
      </c>
      <c r="G154">
        <v>54.33</v>
      </c>
      <c r="H154">
        <v>1466.91</v>
      </c>
      <c r="I154">
        <v>1</v>
      </c>
      <c r="J154" t="s">
        <v>158</v>
      </c>
      <c r="K154">
        <v>151</v>
      </c>
      <c r="L154" t="s">
        <v>413</v>
      </c>
      <c r="M154" t="s">
        <v>24</v>
      </c>
      <c r="N154" t="s">
        <v>25</v>
      </c>
      <c r="O154" t="s">
        <v>26</v>
      </c>
      <c r="P154" t="s">
        <v>27</v>
      </c>
      <c r="Q154" t="s">
        <v>90</v>
      </c>
      <c r="R154" t="s">
        <v>91</v>
      </c>
      <c r="S154" t="s">
        <v>30</v>
      </c>
      <c r="T154" t="str">
        <f>_xlfn.CONCAT(sales_data_sample[[#This Row],[CONTACTLASTNAME]]," ",sales_data_sample[[#This Row],[CONTACTFIRSTNAME]])</f>
        <v>Frick Michael</v>
      </c>
    </row>
    <row r="155" spans="1:20" x14ac:dyDescent="0.3">
      <c r="A155">
        <v>10358</v>
      </c>
      <c r="B155" t="s">
        <v>151</v>
      </c>
      <c r="C155" s="1">
        <v>38331</v>
      </c>
      <c r="D155" t="s">
        <v>74</v>
      </c>
      <c r="E155" t="s">
        <v>21</v>
      </c>
      <c r="F155">
        <v>49</v>
      </c>
      <c r="G155">
        <v>55.34</v>
      </c>
      <c r="H155">
        <v>2711.66</v>
      </c>
      <c r="I155">
        <v>5</v>
      </c>
      <c r="J155" t="s">
        <v>158</v>
      </c>
      <c r="K155">
        <v>151</v>
      </c>
      <c r="L155" t="s">
        <v>413</v>
      </c>
      <c r="M155" t="s">
        <v>153</v>
      </c>
      <c r="N155" t="s">
        <v>154</v>
      </c>
      <c r="O155" t="s">
        <v>155</v>
      </c>
      <c r="P155" t="s">
        <v>36</v>
      </c>
      <c r="Q155" t="s">
        <v>156</v>
      </c>
      <c r="R155" t="s">
        <v>157</v>
      </c>
      <c r="S155" t="s">
        <v>30</v>
      </c>
      <c r="T155" t="str">
        <f>_xlfn.CONCAT(sales_data_sample[[#This Row],[CONTACTLASTNAME]]," ",sales_data_sample[[#This Row],[CONTACTFIRSTNAME]])</f>
        <v>Freyre Diego</v>
      </c>
    </row>
    <row r="156" spans="1:20" x14ac:dyDescent="0.3">
      <c r="A156">
        <v>10372</v>
      </c>
      <c r="B156" t="s">
        <v>209</v>
      </c>
      <c r="C156" s="1">
        <v>38378</v>
      </c>
      <c r="D156" t="s">
        <v>77</v>
      </c>
      <c r="E156" t="s">
        <v>21</v>
      </c>
      <c r="F156">
        <v>40</v>
      </c>
      <c r="G156">
        <v>100</v>
      </c>
      <c r="H156">
        <v>5862</v>
      </c>
      <c r="I156">
        <v>4</v>
      </c>
      <c r="J156" t="s">
        <v>158</v>
      </c>
      <c r="K156">
        <v>151</v>
      </c>
      <c r="L156" t="s">
        <v>413</v>
      </c>
      <c r="M156" t="s">
        <v>210</v>
      </c>
      <c r="N156" t="s">
        <v>211</v>
      </c>
      <c r="O156" t="s">
        <v>173</v>
      </c>
      <c r="P156" t="s">
        <v>173</v>
      </c>
      <c r="Q156" t="s">
        <v>212</v>
      </c>
      <c r="R156" t="s">
        <v>213</v>
      </c>
      <c r="S156" t="s">
        <v>45</v>
      </c>
      <c r="T156" t="str">
        <f>_xlfn.CONCAT(sales_data_sample[[#This Row],[CONTACTLASTNAME]]," ",sales_data_sample[[#This Row],[CONTACTFIRSTNAME]])</f>
        <v>Shimamura Akiko</v>
      </c>
    </row>
    <row r="157" spans="1:20" x14ac:dyDescent="0.3">
      <c r="A157">
        <v>10160</v>
      </c>
      <c r="B157" t="s">
        <v>294</v>
      </c>
      <c r="C157" s="1">
        <v>37905</v>
      </c>
      <c r="D157" t="s">
        <v>53</v>
      </c>
      <c r="E157" t="s">
        <v>21</v>
      </c>
      <c r="F157">
        <v>46</v>
      </c>
      <c r="G157">
        <v>100</v>
      </c>
      <c r="H157">
        <v>5294.14</v>
      </c>
      <c r="I157">
        <v>6</v>
      </c>
      <c r="J157" t="s">
        <v>158</v>
      </c>
      <c r="K157">
        <v>117</v>
      </c>
      <c r="L157" t="s">
        <v>414</v>
      </c>
      <c r="M157" t="s">
        <v>295</v>
      </c>
      <c r="N157" t="s">
        <v>27</v>
      </c>
      <c r="O157" t="s">
        <v>26</v>
      </c>
      <c r="P157" t="s">
        <v>27</v>
      </c>
      <c r="Q157" t="s">
        <v>296</v>
      </c>
      <c r="R157" t="s">
        <v>91</v>
      </c>
      <c r="S157" t="s">
        <v>45</v>
      </c>
      <c r="T157" t="str">
        <f>_xlfn.CONCAT(sales_data_sample[[#This Row],[CONTACTLASTNAME]]," ",sales_data_sample[[#This Row],[CONTACTFIRSTNAME]])</f>
        <v>Chandler Michael</v>
      </c>
    </row>
    <row r="158" spans="1:20" x14ac:dyDescent="0.3">
      <c r="A158">
        <v>10170</v>
      </c>
      <c r="B158" t="s">
        <v>333</v>
      </c>
      <c r="C158" s="1">
        <v>37929</v>
      </c>
      <c r="D158" t="s">
        <v>62</v>
      </c>
      <c r="E158" t="s">
        <v>21</v>
      </c>
      <c r="F158">
        <v>47</v>
      </c>
      <c r="G158">
        <v>100</v>
      </c>
      <c r="H158">
        <v>5464.69</v>
      </c>
      <c r="I158">
        <v>4</v>
      </c>
      <c r="J158" t="s">
        <v>158</v>
      </c>
      <c r="K158">
        <v>117</v>
      </c>
      <c r="L158" t="s">
        <v>414</v>
      </c>
      <c r="M158" t="s">
        <v>335</v>
      </c>
      <c r="N158" t="s">
        <v>336</v>
      </c>
      <c r="O158" t="s">
        <v>130</v>
      </c>
      <c r="P158" t="s">
        <v>36</v>
      </c>
      <c r="Q158" t="s">
        <v>337</v>
      </c>
      <c r="R158" t="s">
        <v>338</v>
      </c>
      <c r="S158" t="s">
        <v>45</v>
      </c>
      <c r="T158" t="str">
        <f>_xlfn.CONCAT(sales_data_sample[[#This Row],[CONTACTLASTNAME]]," ",sales_data_sample[[#This Row],[CONTACTFIRSTNAME]])</f>
        <v>Mendel Roland</v>
      </c>
    </row>
    <row r="159" spans="1:20" x14ac:dyDescent="0.3">
      <c r="A159">
        <v>10212</v>
      </c>
      <c r="B159" t="s">
        <v>151</v>
      </c>
      <c r="C159" s="1">
        <v>38002</v>
      </c>
      <c r="D159" t="s">
        <v>77</v>
      </c>
      <c r="E159" t="s">
        <v>21</v>
      </c>
      <c r="F159">
        <v>39</v>
      </c>
      <c r="G159">
        <v>100</v>
      </c>
      <c r="H159">
        <v>4946.76</v>
      </c>
      <c r="I159">
        <v>16</v>
      </c>
      <c r="J159" t="s">
        <v>158</v>
      </c>
      <c r="K159">
        <v>117</v>
      </c>
      <c r="L159" t="s">
        <v>414</v>
      </c>
      <c r="M159" t="s">
        <v>153</v>
      </c>
      <c r="N159" t="s">
        <v>154</v>
      </c>
      <c r="O159" t="s">
        <v>155</v>
      </c>
      <c r="P159" t="s">
        <v>36</v>
      </c>
      <c r="Q159" t="s">
        <v>156</v>
      </c>
      <c r="R159" t="s">
        <v>157</v>
      </c>
      <c r="S159" t="s">
        <v>45</v>
      </c>
      <c r="T159" t="str">
        <f>_xlfn.CONCAT(sales_data_sample[[#This Row],[CONTACTLASTNAME]]," ",sales_data_sample[[#This Row],[CONTACTFIRSTNAME]])</f>
        <v>Freyre Diego</v>
      </c>
    </row>
    <row r="160" spans="1:20" x14ac:dyDescent="0.3">
      <c r="A160">
        <v>10376</v>
      </c>
      <c r="B160" t="s">
        <v>415</v>
      </c>
      <c r="C160" s="1">
        <v>38391</v>
      </c>
      <c r="D160" t="s">
        <v>20</v>
      </c>
      <c r="E160" t="s">
        <v>21</v>
      </c>
      <c r="F160">
        <v>35</v>
      </c>
      <c r="G160">
        <v>100</v>
      </c>
      <c r="H160">
        <v>3987.2</v>
      </c>
      <c r="I160">
        <v>1</v>
      </c>
      <c r="J160" t="s">
        <v>158</v>
      </c>
      <c r="K160">
        <v>117</v>
      </c>
      <c r="L160" t="s">
        <v>414</v>
      </c>
      <c r="M160" t="s">
        <v>416</v>
      </c>
      <c r="N160" t="s">
        <v>417</v>
      </c>
      <c r="O160" t="s">
        <v>26</v>
      </c>
      <c r="P160" t="s">
        <v>27</v>
      </c>
      <c r="Q160" t="s">
        <v>50</v>
      </c>
      <c r="R160" t="s">
        <v>208</v>
      </c>
      <c r="S160" t="s">
        <v>45</v>
      </c>
      <c r="T160" t="str">
        <f>_xlfn.CONCAT(sales_data_sample[[#This Row],[CONTACTLASTNAME]]," ",sales_data_sample[[#This Row],[CONTACTFIRSTNAME]])</f>
        <v>Young Leslie</v>
      </c>
    </row>
    <row r="161" spans="1:20" x14ac:dyDescent="0.3">
      <c r="A161">
        <v>10349</v>
      </c>
      <c r="B161" t="s">
        <v>386</v>
      </c>
      <c r="C161" s="1">
        <v>38322</v>
      </c>
      <c r="D161" t="s">
        <v>74</v>
      </c>
      <c r="E161" t="s">
        <v>21</v>
      </c>
      <c r="F161">
        <v>26</v>
      </c>
      <c r="G161">
        <v>100</v>
      </c>
      <c r="H161">
        <v>4408.5600000000004</v>
      </c>
      <c r="I161">
        <v>10</v>
      </c>
      <c r="J161" t="s">
        <v>158</v>
      </c>
      <c r="K161">
        <v>173</v>
      </c>
      <c r="L161" t="s">
        <v>418</v>
      </c>
      <c r="M161" t="s">
        <v>24</v>
      </c>
      <c r="N161" t="s">
        <v>25</v>
      </c>
      <c r="O161" t="s">
        <v>26</v>
      </c>
      <c r="P161" t="s">
        <v>27</v>
      </c>
      <c r="Q161" t="s">
        <v>50</v>
      </c>
      <c r="R161" t="s">
        <v>387</v>
      </c>
      <c r="S161" t="s">
        <v>45</v>
      </c>
      <c r="T161" t="str">
        <f>_xlfn.CONCAT(sales_data_sample[[#This Row],[CONTACTLASTNAME]]," ",sales_data_sample[[#This Row],[CONTACTFIRSTNAME]])</f>
        <v>Young Jeff</v>
      </c>
    </row>
    <row r="162" spans="1:20" x14ac:dyDescent="0.3">
      <c r="A162">
        <v>10396</v>
      </c>
      <c r="B162" t="s">
        <v>228</v>
      </c>
      <c r="C162" s="1">
        <v>38434</v>
      </c>
      <c r="D162" t="s">
        <v>140</v>
      </c>
      <c r="E162" t="s">
        <v>21</v>
      </c>
      <c r="F162">
        <v>33</v>
      </c>
      <c r="G162">
        <v>100</v>
      </c>
      <c r="H162">
        <v>6109.29</v>
      </c>
      <c r="I162">
        <v>3</v>
      </c>
      <c r="J162" t="s">
        <v>158</v>
      </c>
      <c r="K162">
        <v>173</v>
      </c>
      <c r="L162" t="s">
        <v>418</v>
      </c>
      <c r="M162" t="s">
        <v>229</v>
      </c>
      <c r="N162" t="s">
        <v>99</v>
      </c>
      <c r="O162" t="s">
        <v>26</v>
      </c>
      <c r="P162" t="s">
        <v>27</v>
      </c>
      <c r="Q162" t="s">
        <v>230</v>
      </c>
      <c r="R162" t="s">
        <v>231</v>
      </c>
      <c r="S162" t="s">
        <v>45</v>
      </c>
      <c r="T162" t="str">
        <f>_xlfn.CONCAT(sales_data_sample[[#This Row],[CONTACTLASTNAME]]," ",sales_data_sample[[#This Row],[CONTACTFIRSTNAME]])</f>
        <v>Nelson Valarie</v>
      </c>
    </row>
    <row r="163" spans="1:20" x14ac:dyDescent="0.3">
      <c r="A163">
        <v>10377</v>
      </c>
      <c r="B163" t="s">
        <v>111</v>
      </c>
      <c r="C163" s="1">
        <v>38392</v>
      </c>
      <c r="D163" t="s">
        <v>20</v>
      </c>
      <c r="E163" t="s">
        <v>21</v>
      </c>
      <c r="F163">
        <v>24</v>
      </c>
      <c r="G163">
        <v>67.83</v>
      </c>
      <c r="H163">
        <v>1627.92</v>
      </c>
      <c r="I163">
        <v>5</v>
      </c>
      <c r="J163" t="s">
        <v>158</v>
      </c>
      <c r="K163">
        <v>79</v>
      </c>
      <c r="L163" t="s">
        <v>419</v>
      </c>
      <c r="M163" t="s">
        <v>113</v>
      </c>
      <c r="N163" t="s">
        <v>114</v>
      </c>
      <c r="O163" t="s">
        <v>115</v>
      </c>
      <c r="P163" t="s">
        <v>36</v>
      </c>
      <c r="Q163" t="s">
        <v>116</v>
      </c>
      <c r="R163" t="s">
        <v>117</v>
      </c>
      <c r="S163" t="s">
        <v>30</v>
      </c>
      <c r="T163" t="str">
        <f>_xlfn.CONCAT(sales_data_sample[[#This Row],[CONTACTLASTNAME]]," ",sales_data_sample[[#This Row],[CONTACTFIRSTNAME]])</f>
        <v>Karttunen Matti</v>
      </c>
    </row>
    <row r="164" spans="1:20" x14ac:dyDescent="0.3">
      <c r="A164">
        <v>10115</v>
      </c>
      <c r="B164" t="s">
        <v>176</v>
      </c>
      <c r="C164" s="1">
        <v>37715</v>
      </c>
      <c r="D164" t="s">
        <v>89</v>
      </c>
      <c r="E164" t="s">
        <v>21</v>
      </c>
      <c r="F164">
        <v>46</v>
      </c>
      <c r="G164">
        <v>100</v>
      </c>
      <c r="H164">
        <v>5723.78</v>
      </c>
      <c r="I164">
        <v>5</v>
      </c>
      <c r="J164" t="s">
        <v>407</v>
      </c>
      <c r="K164">
        <v>118</v>
      </c>
      <c r="L164" t="s">
        <v>420</v>
      </c>
      <c r="M164" t="s">
        <v>24</v>
      </c>
      <c r="N164" t="s">
        <v>25</v>
      </c>
      <c r="O164" t="s">
        <v>26</v>
      </c>
      <c r="P164" t="s">
        <v>27</v>
      </c>
      <c r="Q164" t="s">
        <v>109</v>
      </c>
      <c r="R164" t="s">
        <v>177</v>
      </c>
      <c r="S164" t="s">
        <v>45</v>
      </c>
      <c r="T164" t="str">
        <f>_xlfn.CONCAT(sales_data_sample[[#This Row],[CONTACTLASTNAME]]," ",sales_data_sample[[#This Row],[CONTACTFIRSTNAME]])</f>
        <v>Hernandez Maria</v>
      </c>
    </row>
    <row r="165" spans="1:20" x14ac:dyDescent="0.3">
      <c r="A165">
        <v>10141</v>
      </c>
      <c r="B165" t="s">
        <v>380</v>
      </c>
      <c r="C165" s="1">
        <v>37834</v>
      </c>
      <c r="D165" t="s">
        <v>47</v>
      </c>
      <c r="E165" t="s">
        <v>21</v>
      </c>
      <c r="F165">
        <v>21</v>
      </c>
      <c r="G165">
        <v>100</v>
      </c>
      <c r="H165">
        <v>2140.11</v>
      </c>
      <c r="I165">
        <v>5</v>
      </c>
      <c r="J165" t="s">
        <v>407</v>
      </c>
      <c r="K165">
        <v>118</v>
      </c>
      <c r="L165" t="s">
        <v>420</v>
      </c>
      <c r="M165" t="s">
        <v>381</v>
      </c>
      <c r="N165" t="s">
        <v>382</v>
      </c>
      <c r="O165" t="s">
        <v>115</v>
      </c>
      <c r="P165" t="s">
        <v>36</v>
      </c>
      <c r="Q165" t="s">
        <v>383</v>
      </c>
      <c r="R165" t="s">
        <v>384</v>
      </c>
      <c r="S165" t="s">
        <v>30</v>
      </c>
      <c r="T165" t="str">
        <f>_xlfn.CONCAT(sales_data_sample[[#This Row],[CONTACTLASTNAME]]," ",sales_data_sample[[#This Row],[CONTACTFIRSTNAME]])</f>
        <v>Suominen Kalle</v>
      </c>
    </row>
    <row r="166" spans="1:20" x14ac:dyDescent="0.3">
      <c r="A166">
        <v>10151</v>
      </c>
      <c r="B166" t="s">
        <v>319</v>
      </c>
      <c r="C166" s="1">
        <v>37885</v>
      </c>
      <c r="D166" t="s">
        <v>112</v>
      </c>
      <c r="E166" t="s">
        <v>21</v>
      </c>
      <c r="F166">
        <v>24</v>
      </c>
      <c r="G166">
        <v>100</v>
      </c>
      <c r="H166">
        <v>3327.6</v>
      </c>
      <c r="I166">
        <v>3</v>
      </c>
      <c r="J166" t="s">
        <v>407</v>
      </c>
      <c r="K166">
        <v>118</v>
      </c>
      <c r="L166" t="s">
        <v>420</v>
      </c>
      <c r="M166" t="s">
        <v>320</v>
      </c>
      <c r="N166" t="s">
        <v>321</v>
      </c>
      <c r="O166" t="s">
        <v>115</v>
      </c>
      <c r="P166" t="s">
        <v>36</v>
      </c>
      <c r="Q166" t="s">
        <v>322</v>
      </c>
      <c r="R166" t="s">
        <v>323</v>
      </c>
      <c r="S166" t="s">
        <v>45</v>
      </c>
      <c r="T166" t="str">
        <f>_xlfn.CONCAT(sales_data_sample[[#This Row],[CONTACTLASTNAME]]," ",sales_data_sample[[#This Row],[CONTACTFIRSTNAME]])</f>
        <v>Koskitalo Pirkko</v>
      </c>
    </row>
    <row r="167" spans="1:20" x14ac:dyDescent="0.3">
      <c r="A167">
        <v>10184</v>
      </c>
      <c r="B167" t="s">
        <v>421</v>
      </c>
      <c r="C167" s="1">
        <v>37939</v>
      </c>
      <c r="D167" t="s">
        <v>62</v>
      </c>
      <c r="E167" t="s">
        <v>21</v>
      </c>
      <c r="F167">
        <v>37</v>
      </c>
      <c r="G167">
        <v>100</v>
      </c>
      <c r="H167">
        <v>4516.22</v>
      </c>
      <c r="I167">
        <v>6</v>
      </c>
      <c r="J167" t="s">
        <v>407</v>
      </c>
      <c r="K167">
        <v>118</v>
      </c>
      <c r="L167" t="s">
        <v>420</v>
      </c>
      <c r="M167" t="s">
        <v>422</v>
      </c>
      <c r="N167" t="s">
        <v>423</v>
      </c>
      <c r="O167" t="s">
        <v>155</v>
      </c>
      <c r="P167" t="s">
        <v>36</v>
      </c>
      <c r="Q167" t="s">
        <v>424</v>
      </c>
      <c r="R167" t="s">
        <v>425</v>
      </c>
      <c r="S167" t="s">
        <v>45</v>
      </c>
      <c r="T167" t="str">
        <f>_xlfn.CONCAT(sales_data_sample[[#This Row],[CONTACTLASTNAME]]," ",sales_data_sample[[#This Row],[CONTACTFIRSTNAME]])</f>
        <v>Roel Jose Pedro</v>
      </c>
    </row>
    <row r="168" spans="1:20" x14ac:dyDescent="0.3">
      <c r="A168">
        <v>10195</v>
      </c>
      <c r="B168" t="s">
        <v>261</v>
      </c>
      <c r="C168" s="1">
        <v>37950</v>
      </c>
      <c r="D168" t="s">
        <v>62</v>
      </c>
      <c r="E168" t="s">
        <v>21</v>
      </c>
      <c r="F168">
        <v>49</v>
      </c>
      <c r="G168">
        <v>100</v>
      </c>
      <c r="H168">
        <v>6445.46</v>
      </c>
      <c r="I168">
        <v>6</v>
      </c>
      <c r="J168" t="s">
        <v>407</v>
      </c>
      <c r="K168">
        <v>118</v>
      </c>
      <c r="L168" t="s">
        <v>420</v>
      </c>
      <c r="M168" t="s">
        <v>262</v>
      </c>
      <c r="N168" t="s">
        <v>263</v>
      </c>
      <c r="O168" t="s">
        <v>26</v>
      </c>
      <c r="P168" t="s">
        <v>27</v>
      </c>
      <c r="Q168" t="s">
        <v>90</v>
      </c>
      <c r="R168" t="s">
        <v>202</v>
      </c>
      <c r="S168" t="s">
        <v>45</v>
      </c>
      <c r="T168" t="str">
        <f>_xlfn.CONCAT(sales_data_sample[[#This Row],[CONTACTLASTNAME]]," ",sales_data_sample[[#This Row],[CONTACTFIRSTNAME]])</f>
        <v>Frick Steve</v>
      </c>
    </row>
    <row r="169" spans="1:20" x14ac:dyDescent="0.3">
      <c r="A169">
        <v>10219</v>
      </c>
      <c r="B169" t="s">
        <v>426</v>
      </c>
      <c r="C169" s="1">
        <v>38027</v>
      </c>
      <c r="D169" t="s">
        <v>20</v>
      </c>
      <c r="E169" t="s">
        <v>21</v>
      </c>
      <c r="F169">
        <v>48</v>
      </c>
      <c r="G169">
        <v>100</v>
      </c>
      <c r="H169">
        <v>4891.68</v>
      </c>
      <c r="I169">
        <v>2</v>
      </c>
      <c r="J169" t="s">
        <v>407</v>
      </c>
      <c r="K169">
        <v>118</v>
      </c>
      <c r="L169" t="s">
        <v>420</v>
      </c>
      <c r="M169" t="s">
        <v>427</v>
      </c>
      <c r="N169" t="s">
        <v>58</v>
      </c>
      <c r="O169" t="s">
        <v>26</v>
      </c>
      <c r="P169" t="s">
        <v>27</v>
      </c>
      <c r="Q169" t="s">
        <v>428</v>
      </c>
      <c r="R169" t="s">
        <v>326</v>
      </c>
      <c r="S169" t="s">
        <v>45</v>
      </c>
      <c r="T169" t="str">
        <f>_xlfn.CONCAT(sales_data_sample[[#This Row],[CONTACTLASTNAME]]," ",sales_data_sample[[#This Row],[CONTACTFIRSTNAME]])</f>
        <v>Taylor Sue</v>
      </c>
    </row>
    <row r="170" spans="1:20" x14ac:dyDescent="0.3">
      <c r="A170">
        <v>10246</v>
      </c>
      <c r="B170" t="s">
        <v>151</v>
      </c>
      <c r="C170" s="1">
        <v>38112</v>
      </c>
      <c r="D170" t="s">
        <v>32</v>
      </c>
      <c r="E170" t="s">
        <v>21</v>
      </c>
      <c r="F170">
        <v>46</v>
      </c>
      <c r="G170">
        <v>100</v>
      </c>
      <c r="H170">
        <v>5069.66</v>
      </c>
      <c r="I170">
        <v>5</v>
      </c>
      <c r="J170" t="s">
        <v>407</v>
      </c>
      <c r="K170">
        <v>118</v>
      </c>
      <c r="L170" t="s">
        <v>420</v>
      </c>
      <c r="M170" t="s">
        <v>153</v>
      </c>
      <c r="N170" t="s">
        <v>154</v>
      </c>
      <c r="O170" t="s">
        <v>155</v>
      </c>
      <c r="P170" t="s">
        <v>36</v>
      </c>
      <c r="Q170" t="s">
        <v>156</v>
      </c>
      <c r="R170" t="s">
        <v>157</v>
      </c>
      <c r="S170" t="s">
        <v>45</v>
      </c>
      <c r="T170" t="str">
        <f>_xlfn.CONCAT(sales_data_sample[[#This Row],[CONTACTLASTNAME]]," ",sales_data_sample[[#This Row],[CONTACTFIRSTNAME]])</f>
        <v>Freyre Diego</v>
      </c>
    </row>
    <row r="171" spans="1:20" x14ac:dyDescent="0.3">
      <c r="A171">
        <v>10271</v>
      </c>
      <c r="B171" t="s">
        <v>228</v>
      </c>
      <c r="C171" s="1">
        <v>38188</v>
      </c>
      <c r="D171" t="s">
        <v>40</v>
      </c>
      <c r="E171" t="s">
        <v>21</v>
      </c>
      <c r="F171">
        <v>31</v>
      </c>
      <c r="G171">
        <v>97.17</v>
      </c>
      <c r="H171">
        <v>3012.27</v>
      </c>
      <c r="I171">
        <v>5</v>
      </c>
      <c r="J171" t="s">
        <v>407</v>
      </c>
      <c r="K171">
        <v>118</v>
      </c>
      <c r="L171" t="s">
        <v>420</v>
      </c>
      <c r="M171" t="s">
        <v>229</v>
      </c>
      <c r="N171" t="s">
        <v>99</v>
      </c>
      <c r="O171" t="s">
        <v>26</v>
      </c>
      <c r="P171" t="s">
        <v>27</v>
      </c>
      <c r="Q171" t="s">
        <v>230</v>
      </c>
      <c r="R171" t="s">
        <v>231</v>
      </c>
      <c r="S171" t="s">
        <v>45</v>
      </c>
      <c r="T171" t="str">
        <f>_xlfn.CONCAT(sales_data_sample[[#This Row],[CONTACTLASTNAME]]," ",sales_data_sample[[#This Row],[CONTACTFIRSTNAME]])</f>
        <v>Nelson Valarie</v>
      </c>
    </row>
    <row r="172" spans="1:20" x14ac:dyDescent="0.3">
      <c r="A172">
        <v>10292</v>
      </c>
      <c r="B172" t="s">
        <v>19</v>
      </c>
      <c r="C172" s="1">
        <v>38238</v>
      </c>
      <c r="D172" t="s">
        <v>112</v>
      </c>
      <c r="E172" t="s">
        <v>21</v>
      </c>
      <c r="F172">
        <v>21</v>
      </c>
      <c r="G172">
        <v>100</v>
      </c>
      <c r="H172">
        <v>2214.87</v>
      </c>
      <c r="I172">
        <v>8</v>
      </c>
      <c r="J172" t="s">
        <v>407</v>
      </c>
      <c r="K172">
        <v>118</v>
      </c>
      <c r="L172" t="s">
        <v>420</v>
      </c>
      <c r="M172" t="s">
        <v>24</v>
      </c>
      <c r="N172" t="s">
        <v>25</v>
      </c>
      <c r="O172" t="s">
        <v>26</v>
      </c>
      <c r="P172" t="s">
        <v>27</v>
      </c>
      <c r="Q172" t="s">
        <v>28</v>
      </c>
      <c r="R172" t="s">
        <v>29</v>
      </c>
      <c r="S172" t="s">
        <v>30</v>
      </c>
      <c r="T172" t="str">
        <f>_xlfn.CONCAT(sales_data_sample[[#This Row],[CONTACTLASTNAME]]," ",sales_data_sample[[#This Row],[CONTACTFIRSTNAME]])</f>
        <v>Yu Kwai</v>
      </c>
    </row>
    <row r="173" spans="1:20" x14ac:dyDescent="0.3">
      <c r="A173">
        <v>10412</v>
      </c>
      <c r="B173" t="s">
        <v>151</v>
      </c>
      <c r="C173" s="1">
        <v>38475</v>
      </c>
      <c r="D173" t="s">
        <v>32</v>
      </c>
      <c r="E173" t="s">
        <v>21</v>
      </c>
      <c r="F173">
        <v>54</v>
      </c>
      <c r="G173">
        <v>100</v>
      </c>
      <c r="H173">
        <v>5951.34</v>
      </c>
      <c r="I173">
        <v>5</v>
      </c>
      <c r="J173" t="s">
        <v>407</v>
      </c>
      <c r="K173">
        <v>118</v>
      </c>
      <c r="L173" t="s">
        <v>420</v>
      </c>
      <c r="M173" t="s">
        <v>153</v>
      </c>
      <c r="N173" t="s">
        <v>154</v>
      </c>
      <c r="O173" t="s">
        <v>155</v>
      </c>
      <c r="P173" t="s">
        <v>36</v>
      </c>
      <c r="Q173" t="s">
        <v>156</v>
      </c>
      <c r="R173" t="s">
        <v>157</v>
      </c>
      <c r="S173" t="s">
        <v>45</v>
      </c>
      <c r="T173" t="str">
        <f>_xlfn.CONCAT(sales_data_sample[[#This Row],[CONTACTLASTNAME]]," ",sales_data_sample[[#This Row],[CONTACTFIRSTNAME]])</f>
        <v>Freyre Diego</v>
      </c>
    </row>
    <row r="174" spans="1:20" x14ac:dyDescent="0.3">
      <c r="A174">
        <v>10192</v>
      </c>
      <c r="B174" t="s">
        <v>232</v>
      </c>
      <c r="C174" s="1">
        <v>37945</v>
      </c>
      <c r="D174" t="s">
        <v>62</v>
      </c>
      <c r="E174" t="s">
        <v>21</v>
      </c>
      <c r="F174">
        <v>27</v>
      </c>
      <c r="G174">
        <v>100</v>
      </c>
      <c r="H174">
        <v>3544.56</v>
      </c>
      <c r="I174">
        <v>16</v>
      </c>
      <c r="J174" t="s">
        <v>158</v>
      </c>
      <c r="K174">
        <v>115</v>
      </c>
      <c r="L174" t="s">
        <v>429</v>
      </c>
      <c r="M174" t="s">
        <v>233</v>
      </c>
      <c r="N174" t="s">
        <v>234</v>
      </c>
      <c r="O174" t="s">
        <v>26</v>
      </c>
      <c r="P174" t="s">
        <v>27</v>
      </c>
      <c r="Q174" t="s">
        <v>50</v>
      </c>
      <c r="R174" t="s">
        <v>231</v>
      </c>
      <c r="S174" t="s">
        <v>45</v>
      </c>
      <c r="T174" t="str">
        <f>_xlfn.CONCAT(sales_data_sample[[#This Row],[CONTACTLASTNAME]]," ",sales_data_sample[[#This Row],[CONTACTFIRSTNAME]])</f>
        <v>Young Valarie</v>
      </c>
    </row>
    <row r="175" spans="1:20" x14ac:dyDescent="0.3">
      <c r="A175">
        <v>10239</v>
      </c>
      <c r="B175" t="s">
        <v>319</v>
      </c>
      <c r="C175" s="1">
        <v>38089</v>
      </c>
      <c r="D175" t="s">
        <v>89</v>
      </c>
      <c r="E175" t="s">
        <v>21</v>
      </c>
      <c r="F175">
        <v>21</v>
      </c>
      <c r="G175">
        <v>93.28</v>
      </c>
      <c r="H175">
        <v>1958.88</v>
      </c>
      <c r="I175">
        <v>5</v>
      </c>
      <c r="J175" t="s">
        <v>158</v>
      </c>
      <c r="K175">
        <v>115</v>
      </c>
      <c r="L175" t="s">
        <v>429</v>
      </c>
      <c r="M175" t="s">
        <v>320</v>
      </c>
      <c r="N175" t="s">
        <v>321</v>
      </c>
      <c r="O175" t="s">
        <v>115</v>
      </c>
      <c r="P175" t="s">
        <v>36</v>
      </c>
      <c r="Q175" t="s">
        <v>322</v>
      </c>
      <c r="R175" t="s">
        <v>323</v>
      </c>
      <c r="S175" t="s">
        <v>30</v>
      </c>
      <c r="T175" t="str">
        <f>_xlfn.CONCAT(sales_data_sample[[#This Row],[CONTACTLASTNAME]]," ",sales_data_sample[[#This Row],[CONTACTFIRSTNAME]])</f>
        <v>Koskitalo Pirkko</v>
      </c>
    </row>
    <row r="176" spans="1:20" x14ac:dyDescent="0.3">
      <c r="A176">
        <v>10277</v>
      </c>
      <c r="B176" t="s">
        <v>170</v>
      </c>
      <c r="C176" s="1">
        <v>38203</v>
      </c>
      <c r="D176" t="s">
        <v>47</v>
      </c>
      <c r="E176" t="s">
        <v>21</v>
      </c>
      <c r="F176">
        <v>28</v>
      </c>
      <c r="G176">
        <v>100</v>
      </c>
      <c r="H176">
        <v>3127.88</v>
      </c>
      <c r="I176">
        <v>1</v>
      </c>
      <c r="J176" t="s">
        <v>158</v>
      </c>
      <c r="K176">
        <v>115</v>
      </c>
      <c r="L176" t="s">
        <v>429</v>
      </c>
      <c r="M176" t="s">
        <v>171</v>
      </c>
      <c r="N176" t="s">
        <v>172</v>
      </c>
      <c r="O176" t="s">
        <v>171</v>
      </c>
      <c r="P176" t="s">
        <v>173</v>
      </c>
      <c r="Q176" t="s">
        <v>174</v>
      </c>
      <c r="R176" t="s">
        <v>175</v>
      </c>
      <c r="S176" t="s">
        <v>45</v>
      </c>
      <c r="T176" t="str">
        <f>_xlfn.CONCAT(sales_data_sample[[#This Row],[CONTACTLASTNAME]]," ",sales_data_sample[[#This Row],[CONTACTFIRSTNAME]])</f>
        <v>Natividad Eric</v>
      </c>
    </row>
    <row r="177" spans="1:20" x14ac:dyDescent="0.3">
      <c r="A177">
        <v>10321</v>
      </c>
      <c r="B177" t="s">
        <v>139</v>
      </c>
      <c r="C177" s="1">
        <v>38295</v>
      </c>
      <c r="D177" t="s">
        <v>62</v>
      </c>
      <c r="E177" t="s">
        <v>21</v>
      </c>
      <c r="F177">
        <v>24</v>
      </c>
      <c r="G177">
        <v>100</v>
      </c>
      <c r="H177">
        <v>2984.88</v>
      </c>
      <c r="I177">
        <v>15</v>
      </c>
      <c r="J177" t="s">
        <v>158</v>
      </c>
      <c r="K177">
        <v>115</v>
      </c>
      <c r="L177" t="s">
        <v>429</v>
      </c>
      <c r="M177" t="s">
        <v>141</v>
      </c>
      <c r="N177" t="s">
        <v>142</v>
      </c>
      <c r="O177" t="s">
        <v>26</v>
      </c>
      <c r="P177" t="s">
        <v>27</v>
      </c>
      <c r="Q177" t="s">
        <v>143</v>
      </c>
      <c r="R177" t="s">
        <v>144</v>
      </c>
      <c r="S177" t="s">
        <v>30</v>
      </c>
      <c r="T177" t="str">
        <f>_xlfn.CONCAT(sales_data_sample[[#This Row],[CONTACTLASTNAME]]," ",sales_data_sample[[#This Row],[CONTACTFIRSTNAME]])</f>
        <v>Benitez Violeta</v>
      </c>
    </row>
    <row r="178" spans="1:20" x14ac:dyDescent="0.3">
      <c r="A178">
        <v>10405</v>
      </c>
      <c r="B178" t="s">
        <v>430</v>
      </c>
      <c r="C178" s="1">
        <v>38456</v>
      </c>
      <c r="D178" t="s">
        <v>89</v>
      </c>
      <c r="E178" t="s">
        <v>21</v>
      </c>
      <c r="F178">
        <v>97</v>
      </c>
      <c r="G178">
        <v>93.28</v>
      </c>
      <c r="H178">
        <v>9048.16</v>
      </c>
      <c r="I178">
        <v>5</v>
      </c>
      <c r="J178" t="s">
        <v>158</v>
      </c>
      <c r="K178">
        <v>115</v>
      </c>
      <c r="L178" t="s">
        <v>429</v>
      </c>
      <c r="M178" t="s">
        <v>431</v>
      </c>
      <c r="N178" t="s">
        <v>432</v>
      </c>
      <c r="O178" t="s">
        <v>35</v>
      </c>
      <c r="P178" t="s">
        <v>36</v>
      </c>
      <c r="Q178" t="s">
        <v>433</v>
      </c>
      <c r="R178" t="s">
        <v>434</v>
      </c>
      <c r="S178" t="s">
        <v>133</v>
      </c>
      <c r="T178" t="str">
        <f>_xlfn.CONCAT(sales_data_sample[[#This Row],[CONTACTLASTNAME]]," ",sales_data_sample[[#This Row],[CONTACTFIRSTNAME]])</f>
        <v>Citeaux Frederique</v>
      </c>
    </row>
    <row r="179" spans="1:20" x14ac:dyDescent="0.3">
      <c r="A179">
        <v>10109</v>
      </c>
      <c r="B179" t="s">
        <v>256</v>
      </c>
      <c r="C179" s="1">
        <v>37690</v>
      </c>
      <c r="D179" t="s">
        <v>140</v>
      </c>
      <c r="E179" t="s">
        <v>21</v>
      </c>
      <c r="F179">
        <v>26</v>
      </c>
      <c r="G179">
        <v>100</v>
      </c>
      <c r="H179">
        <v>4379.18</v>
      </c>
      <c r="I179">
        <v>4</v>
      </c>
      <c r="J179" t="s">
        <v>158</v>
      </c>
      <c r="K179">
        <v>141</v>
      </c>
      <c r="L179" t="s">
        <v>435</v>
      </c>
      <c r="M179" t="s">
        <v>184</v>
      </c>
      <c r="N179" t="s">
        <v>185</v>
      </c>
      <c r="O179" t="s">
        <v>26</v>
      </c>
      <c r="P179" t="s">
        <v>27</v>
      </c>
      <c r="Q179" t="s">
        <v>109</v>
      </c>
      <c r="R179" t="s">
        <v>257</v>
      </c>
      <c r="S179" t="s">
        <v>45</v>
      </c>
      <c r="T179" t="str">
        <f>_xlfn.CONCAT(sales_data_sample[[#This Row],[CONTACTLASTNAME]]," ",sales_data_sample[[#This Row],[CONTACTFIRSTNAME]])</f>
        <v>Hernandez Rosa</v>
      </c>
    </row>
    <row r="180" spans="1:20" x14ac:dyDescent="0.3">
      <c r="A180">
        <v>10136</v>
      </c>
      <c r="B180" t="s">
        <v>280</v>
      </c>
      <c r="C180" s="1">
        <v>37806</v>
      </c>
      <c r="D180" t="s">
        <v>40</v>
      </c>
      <c r="E180" t="s">
        <v>21</v>
      </c>
      <c r="F180">
        <v>25</v>
      </c>
      <c r="G180">
        <v>100</v>
      </c>
      <c r="H180">
        <v>3644.75</v>
      </c>
      <c r="I180">
        <v>2</v>
      </c>
      <c r="J180" t="s">
        <v>158</v>
      </c>
      <c r="K180">
        <v>141</v>
      </c>
      <c r="L180" t="s">
        <v>435</v>
      </c>
      <c r="M180" t="s">
        <v>281</v>
      </c>
      <c r="N180" t="s">
        <v>282</v>
      </c>
      <c r="O180" t="s">
        <v>35</v>
      </c>
      <c r="P180" t="s">
        <v>36</v>
      </c>
      <c r="Q180" t="s">
        <v>283</v>
      </c>
      <c r="R180" t="s">
        <v>284</v>
      </c>
      <c r="S180" t="s">
        <v>45</v>
      </c>
      <c r="T180" t="str">
        <f>_xlfn.CONCAT(sales_data_sample[[#This Row],[CONTACTLASTNAME]]," ",sales_data_sample[[#This Row],[CONTACTFIRSTNAME]])</f>
        <v>Roulet Annette</v>
      </c>
    </row>
    <row r="181" spans="1:20" x14ac:dyDescent="0.3">
      <c r="A181">
        <v>10148</v>
      </c>
      <c r="B181" t="s">
        <v>239</v>
      </c>
      <c r="C181" s="1">
        <v>37875</v>
      </c>
      <c r="D181" t="s">
        <v>112</v>
      </c>
      <c r="E181" t="s">
        <v>21</v>
      </c>
      <c r="F181">
        <v>23</v>
      </c>
      <c r="G181">
        <v>100</v>
      </c>
      <c r="H181">
        <v>2702.04</v>
      </c>
      <c r="I181">
        <v>13</v>
      </c>
      <c r="J181" t="s">
        <v>158</v>
      </c>
      <c r="K181">
        <v>141</v>
      </c>
      <c r="L181" t="s">
        <v>435</v>
      </c>
      <c r="M181" t="s">
        <v>240</v>
      </c>
      <c r="N181" t="s">
        <v>241</v>
      </c>
      <c r="O181" t="s">
        <v>84</v>
      </c>
      <c r="P181" t="s">
        <v>85</v>
      </c>
      <c r="Q181" t="s">
        <v>242</v>
      </c>
      <c r="R181" t="s">
        <v>243</v>
      </c>
      <c r="S181" t="s">
        <v>30</v>
      </c>
      <c r="T181" t="str">
        <f>_xlfn.CONCAT(sales_data_sample[[#This Row],[CONTACTLASTNAME]]," ",sales_data_sample[[#This Row],[CONTACTFIRSTNAME]])</f>
        <v>O'Hara Anna</v>
      </c>
    </row>
    <row r="182" spans="1:20" x14ac:dyDescent="0.3">
      <c r="A182">
        <v>10161</v>
      </c>
      <c r="B182" t="s">
        <v>402</v>
      </c>
      <c r="C182" s="1">
        <v>37911</v>
      </c>
      <c r="D182" t="s">
        <v>53</v>
      </c>
      <c r="E182" t="s">
        <v>21</v>
      </c>
      <c r="F182">
        <v>28</v>
      </c>
      <c r="G182">
        <v>100</v>
      </c>
      <c r="H182">
        <v>3764.88</v>
      </c>
      <c r="I182">
        <v>12</v>
      </c>
      <c r="J182" t="s">
        <v>158</v>
      </c>
      <c r="K182">
        <v>141</v>
      </c>
      <c r="L182" t="s">
        <v>435</v>
      </c>
      <c r="M182" t="s">
        <v>403</v>
      </c>
      <c r="N182" t="s">
        <v>404</v>
      </c>
      <c r="O182" t="s">
        <v>269</v>
      </c>
      <c r="P182" t="s">
        <v>36</v>
      </c>
      <c r="Q182" t="s">
        <v>405</v>
      </c>
      <c r="R182" t="s">
        <v>406</v>
      </c>
      <c r="S182" t="s">
        <v>45</v>
      </c>
      <c r="T182" t="str">
        <f>_xlfn.CONCAT(sales_data_sample[[#This Row],[CONTACTLASTNAME]]," ",sales_data_sample[[#This Row],[CONTACTFIRSTNAME]])</f>
        <v>Ibsen Palle</v>
      </c>
    </row>
    <row r="183" spans="1:20" x14ac:dyDescent="0.3">
      <c r="A183">
        <v>10171</v>
      </c>
      <c r="B183" t="s">
        <v>244</v>
      </c>
      <c r="C183" s="1">
        <v>37930</v>
      </c>
      <c r="D183" t="s">
        <v>62</v>
      </c>
      <c r="E183" t="s">
        <v>21</v>
      </c>
      <c r="F183">
        <v>35</v>
      </c>
      <c r="G183">
        <v>100</v>
      </c>
      <c r="H183">
        <v>4508</v>
      </c>
      <c r="I183">
        <v>2</v>
      </c>
      <c r="J183" t="s">
        <v>158</v>
      </c>
      <c r="K183">
        <v>141</v>
      </c>
      <c r="L183" t="s">
        <v>435</v>
      </c>
      <c r="M183" t="s">
        <v>245</v>
      </c>
      <c r="N183" t="s">
        <v>246</v>
      </c>
      <c r="O183" t="s">
        <v>196</v>
      </c>
      <c r="P183" t="s">
        <v>27</v>
      </c>
      <c r="Q183" t="s">
        <v>247</v>
      </c>
      <c r="R183" t="s">
        <v>248</v>
      </c>
      <c r="S183" t="s">
        <v>45</v>
      </c>
      <c r="T183" t="str">
        <f>_xlfn.CONCAT(sales_data_sample[[#This Row],[CONTACTLASTNAME]]," ",sales_data_sample[[#This Row],[CONTACTFIRSTNAME]])</f>
        <v>Fresnisre Jean</v>
      </c>
    </row>
    <row r="184" spans="1:20" x14ac:dyDescent="0.3">
      <c r="A184">
        <v>10204</v>
      </c>
      <c r="B184" t="s">
        <v>386</v>
      </c>
      <c r="C184" s="1">
        <v>37957</v>
      </c>
      <c r="D184" t="s">
        <v>74</v>
      </c>
      <c r="E184" t="s">
        <v>21</v>
      </c>
      <c r="F184">
        <v>42</v>
      </c>
      <c r="G184">
        <v>100</v>
      </c>
      <c r="H184">
        <v>6182.4</v>
      </c>
      <c r="I184">
        <v>17</v>
      </c>
      <c r="J184" t="s">
        <v>158</v>
      </c>
      <c r="K184">
        <v>141</v>
      </c>
      <c r="L184" t="s">
        <v>435</v>
      </c>
      <c r="M184" t="s">
        <v>24</v>
      </c>
      <c r="N184" t="s">
        <v>25</v>
      </c>
      <c r="O184" t="s">
        <v>26</v>
      </c>
      <c r="P184" t="s">
        <v>27</v>
      </c>
      <c r="Q184" t="s">
        <v>50</v>
      </c>
      <c r="R184" t="s">
        <v>387</v>
      </c>
      <c r="S184" t="s">
        <v>45</v>
      </c>
      <c r="T184" t="str">
        <f>_xlfn.CONCAT(sales_data_sample[[#This Row],[CONTACTLASTNAME]]," ",sales_data_sample[[#This Row],[CONTACTFIRSTNAME]])</f>
        <v>Young Jeff</v>
      </c>
    </row>
    <row r="185" spans="1:20" x14ac:dyDescent="0.3">
      <c r="A185">
        <v>10240</v>
      </c>
      <c r="B185" t="s">
        <v>251</v>
      </c>
      <c r="C185" s="1">
        <v>38090</v>
      </c>
      <c r="D185" t="s">
        <v>89</v>
      </c>
      <c r="E185" t="s">
        <v>21</v>
      </c>
      <c r="F185">
        <v>41</v>
      </c>
      <c r="G185">
        <v>100</v>
      </c>
      <c r="H185">
        <v>5628.89</v>
      </c>
      <c r="I185">
        <v>3</v>
      </c>
      <c r="J185" t="s">
        <v>158</v>
      </c>
      <c r="K185">
        <v>141</v>
      </c>
      <c r="L185" t="s">
        <v>435</v>
      </c>
      <c r="M185" t="s">
        <v>252</v>
      </c>
      <c r="N185" t="s">
        <v>253</v>
      </c>
      <c r="O185" t="s">
        <v>173</v>
      </c>
      <c r="P185" t="s">
        <v>173</v>
      </c>
      <c r="Q185" t="s">
        <v>254</v>
      </c>
      <c r="R185" t="s">
        <v>255</v>
      </c>
      <c r="S185" t="s">
        <v>45</v>
      </c>
      <c r="T185" t="str">
        <f>_xlfn.CONCAT(sales_data_sample[[#This Row],[CONTACTLASTNAME]]," ",sales_data_sample[[#This Row],[CONTACTFIRSTNAME]])</f>
        <v>Kentary Mory</v>
      </c>
    </row>
    <row r="186" spans="1:20" x14ac:dyDescent="0.3">
      <c r="A186">
        <v>10278</v>
      </c>
      <c r="B186" t="s">
        <v>436</v>
      </c>
      <c r="C186" s="1">
        <v>38205</v>
      </c>
      <c r="D186" t="s">
        <v>47</v>
      </c>
      <c r="E186" t="s">
        <v>21</v>
      </c>
      <c r="F186">
        <v>34</v>
      </c>
      <c r="G186">
        <v>100</v>
      </c>
      <c r="H186">
        <v>4667.8599999999997</v>
      </c>
      <c r="I186">
        <v>6</v>
      </c>
      <c r="J186" t="s">
        <v>158</v>
      </c>
      <c r="K186">
        <v>141</v>
      </c>
      <c r="L186" t="s">
        <v>435</v>
      </c>
      <c r="M186" t="s">
        <v>437</v>
      </c>
      <c r="N186" t="s">
        <v>438</v>
      </c>
      <c r="O186" t="s">
        <v>26</v>
      </c>
      <c r="P186" t="s">
        <v>27</v>
      </c>
      <c r="Q186" t="s">
        <v>100</v>
      </c>
      <c r="R186" t="s">
        <v>326</v>
      </c>
      <c r="S186" t="s">
        <v>45</v>
      </c>
      <c r="T186" t="str">
        <f>_xlfn.CONCAT(sales_data_sample[[#This Row],[CONTACTLASTNAME]]," ",sales_data_sample[[#This Row],[CONTACTFIRSTNAME]])</f>
        <v>King Sue</v>
      </c>
    </row>
    <row r="187" spans="1:20" x14ac:dyDescent="0.3">
      <c r="A187">
        <v>10301</v>
      </c>
      <c r="B187" t="s">
        <v>439</v>
      </c>
      <c r="C187" s="1">
        <v>37899</v>
      </c>
      <c r="D187" t="s">
        <v>53</v>
      </c>
      <c r="E187" t="s">
        <v>21</v>
      </c>
      <c r="F187">
        <v>37</v>
      </c>
      <c r="G187">
        <v>100</v>
      </c>
      <c r="H187">
        <v>5917.78</v>
      </c>
      <c r="I187">
        <v>8</v>
      </c>
      <c r="J187" t="s">
        <v>158</v>
      </c>
      <c r="K187">
        <v>141</v>
      </c>
      <c r="L187" t="s">
        <v>435</v>
      </c>
      <c r="M187" t="s">
        <v>440</v>
      </c>
      <c r="N187" t="s">
        <v>441</v>
      </c>
      <c r="O187" t="s">
        <v>70</v>
      </c>
      <c r="P187" t="s">
        <v>36</v>
      </c>
      <c r="Q187" t="s">
        <v>442</v>
      </c>
      <c r="R187" t="s">
        <v>443</v>
      </c>
      <c r="S187" t="s">
        <v>45</v>
      </c>
      <c r="T187" t="str">
        <f>_xlfn.CONCAT(sales_data_sample[[#This Row],[CONTACTLASTNAME]]," ",sales_data_sample[[#This Row],[CONTACTFIRSTNAME]])</f>
        <v>Klaeboe Jan</v>
      </c>
    </row>
    <row r="188" spans="1:20" x14ac:dyDescent="0.3">
      <c r="A188">
        <v>10331</v>
      </c>
      <c r="B188" t="s">
        <v>256</v>
      </c>
      <c r="C188" s="1">
        <v>38308</v>
      </c>
      <c r="D188" t="s">
        <v>62</v>
      </c>
      <c r="E188" t="s">
        <v>21</v>
      </c>
      <c r="F188">
        <v>46</v>
      </c>
      <c r="G188">
        <v>100</v>
      </c>
      <c r="H188">
        <v>6434.02</v>
      </c>
      <c r="I188">
        <v>6</v>
      </c>
      <c r="J188" t="s">
        <v>158</v>
      </c>
      <c r="K188">
        <v>141</v>
      </c>
      <c r="L188" t="s">
        <v>435</v>
      </c>
      <c r="M188" t="s">
        <v>184</v>
      </c>
      <c r="N188" t="s">
        <v>185</v>
      </c>
      <c r="O188" t="s">
        <v>26</v>
      </c>
      <c r="P188" t="s">
        <v>27</v>
      </c>
      <c r="Q188" t="s">
        <v>109</v>
      </c>
      <c r="R188" t="s">
        <v>257</v>
      </c>
      <c r="S188" t="s">
        <v>45</v>
      </c>
      <c r="T188" t="str">
        <f>_xlfn.CONCAT(sales_data_sample[[#This Row],[CONTACTLASTNAME]]," ",sales_data_sample[[#This Row],[CONTACTFIRSTNAME]])</f>
        <v>Hernandez Rosa</v>
      </c>
    </row>
    <row r="189" spans="1:20" x14ac:dyDescent="0.3">
      <c r="A189">
        <v>10342</v>
      </c>
      <c r="B189" t="s">
        <v>81</v>
      </c>
      <c r="C189" s="1">
        <v>38315</v>
      </c>
      <c r="D189" t="s">
        <v>62</v>
      </c>
      <c r="E189" t="s">
        <v>21</v>
      </c>
      <c r="F189">
        <v>40</v>
      </c>
      <c r="G189">
        <v>100</v>
      </c>
      <c r="H189">
        <v>6454.4</v>
      </c>
      <c r="I189">
        <v>2</v>
      </c>
      <c r="J189" t="s">
        <v>158</v>
      </c>
      <c r="K189">
        <v>141</v>
      </c>
      <c r="L189" t="s">
        <v>435</v>
      </c>
      <c r="M189" t="s">
        <v>82</v>
      </c>
      <c r="N189" t="s">
        <v>83</v>
      </c>
      <c r="O189" t="s">
        <v>84</v>
      </c>
      <c r="P189" t="s">
        <v>85</v>
      </c>
      <c r="Q189" t="s">
        <v>86</v>
      </c>
      <c r="R189" t="s">
        <v>87</v>
      </c>
      <c r="S189" t="s">
        <v>45</v>
      </c>
      <c r="T189" t="str">
        <f>_xlfn.CONCAT(sales_data_sample[[#This Row],[CONTACTLASTNAME]]," ",sales_data_sample[[#This Row],[CONTACTFIRSTNAME]])</f>
        <v>Ferguson Peter</v>
      </c>
    </row>
    <row r="190" spans="1:20" x14ac:dyDescent="0.3">
      <c r="A190">
        <v>10356</v>
      </c>
      <c r="B190" t="s">
        <v>39</v>
      </c>
      <c r="C190" s="1">
        <v>38330</v>
      </c>
      <c r="D190" t="s">
        <v>74</v>
      </c>
      <c r="E190" t="s">
        <v>21</v>
      </c>
      <c r="F190">
        <v>43</v>
      </c>
      <c r="G190">
        <v>97.6</v>
      </c>
      <c r="H190">
        <v>4196.8</v>
      </c>
      <c r="I190">
        <v>8</v>
      </c>
      <c r="J190" t="s">
        <v>158</v>
      </c>
      <c r="K190">
        <v>141</v>
      </c>
      <c r="L190" t="s">
        <v>435</v>
      </c>
      <c r="M190" t="s">
        <v>41</v>
      </c>
      <c r="N190" t="s">
        <v>42</v>
      </c>
      <c r="O190" t="s">
        <v>35</v>
      </c>
      <c r="P190" t="s">
        <v>36</v>
      </c>
      <c r="Q190" t="s">
        <v>43</v>
      </c>
      <c r="R190" t="s">
        <v>44</v>
      </c>
      <c r="S190" t="s">
        <v>45</v>
      </c>
      <c r="T190" t="str">
        <f>_xlfn.CONCAT(sales_data_sample[[#This Row],[CONTACTLASTNAME]]," ",sales_data_sample[[#This Row],[CONTACTFIRSTNAME]])</f>
        <v>Da Cunha Daniel</v>
      </c>
    </row>
    <row r="191" spans="1:20" x14ac:dyDescent="0.3">
      <c r="A191">
        <v>10365</v>
      </c>
      <c r="B191" t="s">
        <v>276</v>
      </c>
      <c r="C191" s="1">
        <v>38359</v>
      </c>
      <c r="D191" t="s">
        <v>77</v>
      </c>
      <c r="E191" t="s">
        <v>21</v>
      </c>
      <c r="F191">
        <v>30</v>
      </c>
      <c r="G191">
        <v>87.06</v>
      </c>
      <c r="H191">
        <v>2611.8000000000002</v>
      </c>
      <c r="I191">
        <v>1</v>
      </c>
      <c r="J191" t="s">
        <v>158</v>
      </c>
      <c r="K191">
        <v>141</v>
      </c>
      <c r="L191" t="s">
        <v>435</v>
      </c>
      <c r="M191" t="s">
        <v>141</v>
      </c>
      <c r="N191" t="s">
        <v>142</v>
      </c>
      <c r="O191" t="s">
        <v>26</v>
      </c>
      <c r="P191" t="s">
        <v>27</v>
      </c>
      <c r="Q191" t="s">
        <v>277</v>
      </c>
      <c r="R191" t="s">
        <v>278</v>
      </c>
      <c r="S191" t="s">
        <v>30</v>
      </c>
      <c r="T191" t="str">
        <f>_xlfn.CONCAT(sales_data_sample[[#This Row],[CONTACTLASTNAME]]," ",sales_data_sample[[#This Row],[CONTACTFIRSTNAME]])</f>
        <v>Tam Wing C</v>
      </c>
    </row>
    <row r="192" spans="1:20" x14ac:dyDescent="0.3">
      <c r="A192">
        <v>10390</v>
      </c>
      <c r="B192" t="s">
        <v>228</v>
      </c>
      <c r="C192" s="1">
        <v>38415</v>
      </c>
      <c r="D192" t="s">
        <v>140</v>
      </c>
      <c r="E192" t="s">
        <v>21</v>
      </c>
      <c r="F192">
        <v>36</v>
      </c>
      <c r="G192">
        <v>93.77</v>
      </c>
      <c r="H192">
        <v>3375.72</v>
      </c>
      <c r="I192">
        <v>14</v>
      </c>
      <c r="J192" t="s">
        <v>158</v>
      </c>
      <c r="K192">
        <v>141</v>
      </c>
      <c r="L192" t="s">
        <v>435</v>
      </c>
      <c r="M192" t="s">
        <v>229</v>
      </c>
      <c r="N192" t="s">
        <v>99</v>
      </c>
      <c r="O192" t="s">
        <v>26</v>
      </c>
      <c r="P192" t="s">
        <v>27</v>
      </c>
      <c r="Q192" t="s">
        <v>230</v>
      </c>
      <c r="R192" t="s">
        <v>231</v>
      </c>
      <c r="S192" t="s">
        <v>45</v>
      </c>
      <c r="T192" t="str">
        <f>_xlfn.CONCAT(sales_data_sample[[#This Row],[CONTACTLASTNAME]]," ",sales_data_sample[[#This Row],[CONTACTFIRSTNAME]])</f>
        <v>Nelson Valarie</v>
      </c>
    </row>
    <row r="193" spans="1:20" x14ac:dyDescent="0.3">
      <c r="A193">
        <v>10406</v>
      </c>
      <c r="B193" t="s">
        <v>265</v>
      </c>
      <c r="C193" s="1">
        <v>38457</v>
      </c>
      <c r="D193" t="s">
        <v>89</v>
      </c>
      <c r="E193" t="s">
        <v>152</v>
      </c>
      <c r="F193">
        <v>61</v>
      </c>
      <c r="G193">
        <v>100</v>
      </c>
      <c r="H193">
        <v>8374.69</v>
      </c>
      <c r="I193">
        <v>3</v>
      </c>
      <c r="J193" t="s">
        <v>158</v>
      </c>
      <c r="K193">
        <v>141</v>
      </c>
      <c r="L193" t="s">
        <v>435</v>
      </c>
      <c r="M193" t="s">
        <v>267</v>
      </c>
      <c r="N193" t="s">
        <v>268</v>
      </c>
      <c r="O193" t="s">
        <v>269</v>
      </c>
      <c r="P193" t="s">
        <v>36</v>
      </c>
      <c r="Q193" t="s">
        <v>270</v>
      </c>
      <c r="R193" t="s">
        <v>271</v>
      </c>
      <c r="S193" t="s">
        <v>133</v>
      </c>
      <c r="T193" t="str">
        <f>_xlfn.CONCAT(sales_data_sample[[#This Row],[CONTACTLASTNAME]]," ",sales_data_sample[[#This Row],[CONTACTFIRSTNAME]])</f>
        <v>Petersen Jytte</v>
      </c>
    </row>
    <row r="194" spans="1:20" x14ac:dyDescent="0.3">
      <c r="A194">
        <v>10102</v>
      </c>
      <c r="B194" t="s">
        <v>88</v>
      </c>
      <c r="C194" s="1">
        <v>37631</v>
      </c>
      <c r="D194" t="s">
        <v>77</v>
      </c>
      <c r="E194" t="s">
        <v>21</v>
      </c>
      <c r="F194">
        <v>39</v>
      </c>
      <c r="G194">
        <v>100</v>
      </c>
      <c r="H194">
        <v>4808.3100000000004</v>
      </c>
      <c r="I194">
        <v>2</v>
      </c>
      <c r="J194" t="s">
        <v>444</v>
      </c>
      <c r="K194">
        <v>102</v>
      </c>
      <c r="L194" t="s">
        <v>445</v>
      </c>
      <c r="M194" t="s">
        <v>24</v>
      </c>
      <c r="N194" t="s">
        <v>25</v>
      </c>
      <c r="O194" t="s">
        <v>26</v>
      </c>
      <c r="P194" t="s">
        <v>27</v>
      </c>
      <c r="Q194" t="s">
        <v>90</v>
      </c>
      <c r="R194" t="s">
        <v>91</v>
      </c>
      <c r="S194" t="s">
        <v>45</v>
      </c>
      <c r="T194" t="str">
        <f>_xlfn.CONCAT(sales_data_sample[[#This Row],[CONTACTLASTNAME]]," ",sales_data_sample[[#This Row],[CONTACTFIRSTNAME]])</f>
        <v>Frick Michael</v>
      </c>
    </row>
    <row r="195" spans="1:20" x14ac:dyDescent="0.3">
      <c r="A195">
        <v>10111</v>
      </c>
      <c r="B195" t="s">
        <v>73</v>
      </c>
      <c r="C195" s="1">
        <v>37705</v>
      </c>
      <c r="D195" t="s">
        <v>140</v>
      </c>
      <c r="E195" t="s">
        <v>21</v>
      </c>
      <c r="F195">
        <v>33</v>
      </c>
      <c r="G195">
        <v>99.66</v>
      </c>
      <c r="H195">
        <v>3288.78</v>
      </c>
      <c r="I195">
        <v>6</v>
      </c>
      <c r="J195" t="s">
        <v>444</v>
      </c>
      <c r="K195">
        <v>102</v>
      </c>
      <c r="L195" t="s">
        <v>445</v>
      </c>
      <c r="M195" t="s">
        <v>54</v>
      </c>
      <c r="N195" t="s">
        <v>27</v>
      </c>
      <c r="O195" t="s">
        <v>26</v>
      </c>
      <c r="P195" t="s">
        <v>27</v>
      </c>
      <c r="Q195" t="s">
        <v>75</v>
      </c>
      <c r="R195" t="s">
        <v>51</v>
      </c>
      <c r="S195" t="s">
        <v>45</v>
      </c>
      <c r="T195" t="str">
        <f>_xlfn.CONCAT(sales_data_sample[[#This Row],[CONTACTLASTNAME]]," ",sales_data_sample[[#This Row],[CONTACTFIRSTNAME]])</f>
        <v>Murphy Julie</v>
      </c>
    </row>
    <row r="196" spans="1:20" x14ac:dyDescent="0.3">
      <c r="A196">
        <v>10125</v>
      </c>
      <c r="B196" t="s">
        <v>81</v>
      </c>
      <c r="C196" s="1">
        <v>37762</v>
      </c>
      <c r="D196" t="s">
        <v>32</v>
      </c>
      <c r="E196" t="s">
        <v>21</v>
      </c>
      <c r="F196">
        <v>32</v>
      </c>
      <c r="G196">
        <v>100</v>
      </c>
      <c r="H196">
        <v>3254.72</v>
      </c>
      <c r="I196">
        <v>1</v>
      </c>
      <c r="J196" t="s">
        <v>444</v>
      </c>
      <c r="K196">
        <v>102</v>
      </c>
      <c r="L196" t="s">
        <v>445</v>
      </c>
      <c r="M196" t="s">
        <v>82</v>
      </c>
      <c r="N196" t="s">
        <v>83</v>
      </c>
      <c r="O196" t="s">
        <v>84</v>
      </c>
      <c r="P196" t="s">
        <v>85</v>
      </c>
      <c r="Q196" t="s">
        <v>86</v>
      </c>
      <c r="R196" t="s">
        <v>87</v>
      </c>
      <c r="S196" t="s">
        <v>45</v>
      </c>
      <c r="T196" t="str">
        <f>_xlfn.CONCAT(sales_data_sample[[#This Row],[CONTACTLASTNAME]]," ",sales_data_sample[[#This Row],[CONTACTFIRSTNAME]])</f>
        <v>Ferguson Peter</v>
      </c>
    </row>
    <row r="197" spans="1:20" x14ac:dyDescent="0.3">
      <c r="A197">
        <v>10139</v>
      </c>
      <c r="B197" t="s">
        <v>134</v>
      </c>
      <c r="C197" s="1">
        <v>37818</v>
      </c>
      <c r="D197" t="s">
        <v>40</v>
      </c>
      <c r="E197" t="s">
        <v>21</v>
      </c>
      <c r="F197">
        <v>31</v>
      </c>
      <c r="G197">
        <v>100</v>
      </c>
      <c r="H197">
        <v>3184.94</v>
      </c>
      <c r="I197">
        <v>7</v>
      </c>
      <c r="J197" t="s">
        <v>444</v>
      </c>
      <c r="K197">
        <v>102</v>
      </c>
      <c r="L197" t="s">
        <v>445</v>
      </c>
      <c r="M197" t="s">
        <v>135</v>
      </c>
      <c r="N197" t="s">
        <v>136</v>
      </c>
      <c r="O197" t="s">
        <v>84</v>
      </c>
      <c r="P197" t="s">
        <v>85</v>
      </c>
      <c r="Q197" t="s">
        <v>137</v>
      </c>
      <c r="R197" t="s">
        <v>138</v>
      </c>
      <c r="S197" t="s">
        <v>45</v>
      </c>
      <c r="T197" t="str">
        <f>_xlfn.CONCAT(sales_data_sample[[#This Row],[CONTACTLASTNAME]]," ",sales_data_sample[[#This Row],[CONTACTFIRSTNAME]])</f>
        <v>Huxley Adrian</v>
      </c>
    </row>
    <row r="198" spans="1:20" x14ac:dyDescent="0.3">
      <c r="A198">
        <v>10149</v>
      </c>
      <c r="B198" t="s">
        <v>426</v>
      </c>
      <c r="C198" s="1">
        <v>37876</v>
      </c>
      <c r="D198" t="s">
        <v>112</v>
      </c>
      <c r="E198" t="s">
        <v>21</v>
      </c>
      <c r="F198">
        <v>50</v>
      </c>
      <c r="G198">
        <v>100</v>
      </c>
      <c r="H198">
        <v>5907.5</v>
      </c>
      <c r="I198">
        <v>4</v>
      </c>
      <c r="J198" t="s">
        <v>444</v>
      </c>
      <c r="K198">
        <v>102</v>
      </c>
      <c r="L198" t="s">
        <v>445</v>
      </c>
      <c r="M198" t="s">
        <v>427</v>
      </c>
      <c r="N198" t="s">
        <v>58</v>
      </c>
      <c r="O198" t="s">
        <v>26</v>
      </c>
      <c r="P198" t="s">
        <v>27</v>
      </c>
      <c r="Q198" t="s">
        <v>428</v>
      </c>
      <c r="R198" t="s">
        <v>326</v>
      </c>
      <c r="S198" t="s">
        <v>45</v>
      </c>
      <c r="T198" t="str">
        <f>_xlfn.CONCAT(sales_data_sample[[#This Row],[CONTACTLASTNAME]]," ",sales_data_sample[[#This Row],[CONTACTFIRSTNAME]])</f>
        <v>Taylor Sue</v>
      </c>
    </row>
    <row r="199" spans="1:20" x14ac:dyDescent="0.3">
      <c r="A199">
        <v>10162</v>
      </c>
      <c r="B199" t="s">
        <v>52</v>
      </c>
      <c r="C199" s="1">
        <v>37912</v>
      </c>
      <c r="D199" t="s">
        <v>53</v>
      </c>
      <c r="E199" t="s">
        <v>21</v>
      </c>
      <c r="F199">
        <v>48</v>
      </c>
      <c r="G199">
        <v>91.44</v>
      </c>
      <c r="H199">
        <v>4389.12</v>
      </c>
      <c r="I199">
        <v>2</v>
      </c>
      <c r="J199" t="s">
        <v>444</v>
      </c>
      <c r="K199">
        <v>102</v>
      </c>
      <c r="L199" t="s">
        <v>445</v>
      </c>
      <c r="M199" t="s">
        <v>54</v>
      </c>
      <c r="N199" t="s">
        <v>27</v>
      </c>
      <c r="O199" t="s">
        <v>26</v>
      </c>
      <c r="P199" t="s">
        <v>27</v>
      </c>
      <c r="Q199" t="s">
        <v>55</v>
      </c>
      <c r="R199" t="s">
        <v>51</v>
      </c>
      <c r="S199" t="s">
        <v>45</v>
      </c>
      <c r="T199" t="str">
        <f>_xlfn.CONCAT(sales_data_sample[[#This Row],[CONTACTLASTNAME]]," ",sales_data_sample[[#This Row],[CONTACTFIRSTNAME]])</f>
        <v>Brown Julie</v>
      </c>
    </row>
    <row r="200" spans="1:20" x14ac:dyDescent="0.3">
      <c r="A200">
        <v>10173</v>
      </c>
      <c r="B200" t="s">
        <v>446</v>
      </c>
      <c r="C200" s="1">
        <v>37930</v>
      </c>
      <c r="D200" t="s">
        <v>62</v>
      </c>
      <c r="E200" t="s">
        <v>21</v>
      </c>
      <c r="F200">
        <v>43</v>
      </c>
      <c r="G200">
        <v>100</v>
      </c>
      <c r="H200">
        <v>5036.16</v>
      </c>
      <c r="I200">
        <v>6</v>
      </c>
      <c r="J200" t="s">
        <v>444</v>
      </c>
      <c r="K200">
        <v>102</v>
      </c>
      <c r="L200" t="s">
        <v>445</v>
      </c>
      <c r="M200" t="s">
        <v>447</v>
      </c>
      <c r="N200" t="s">
        <v>448</v>
      </c>
      <c r="O200" t="s">
        <v>217</v>
      </c>
      <c r="P200" t="s">
        <v>36</v>
      </c>
      <c r="Q200" t="s">
        <v>449</v>
      </c>
      <c r="R200" t="s">
        <v>450</v>
      </c>
      <c r="S200" t="s">
        <v>45</v>
      </c>
      <c r="T200" t="str">
        <f>_xlfn.CONCAT(sales_data_sample[[#This Row],[CONTACTLASTNAME]]," ",sales_data_sample[[#This Row],[CONTACTFIRSTNAME]])</f>
        <v>Rovelli Giovanni</v>
      </c>
    </row>
    <row r="201" spans="1:20" x14ac:dyDescent="0.3">
      <c r="A201">
        <v>10182</v>
      </c>
      <c r="B201" t="s">
        <v>228</v>
      </c>
      <c r="C201" s="1">
        <v>37937</v>
      </c>
      <c r="D201" t="s">
        <v>62</v>
      </c>
      <c r="E201" t="s">
        <v>21</v>
      </c>
      <c r="F201">
        <v>25</v>
      </c>
      <c r="G201">
        <v>87.33</v>
      </c>
      <c r="H201">
        <v>2183.25</v>
      </c>
      <c r="I201">
        <v>3</v>
      </c>
      <c r="J201" t="s">
        <v>444</v>
      </c>
      <c r="K201">
        <v>102</v>
      </c>
      <c r="L201" t="s">
        <v>445</v>
      </c>
      <c r="M201" t="s">
        <v>229</v>
      </c>
      <c r="N201" t="s">
        <v>99</v>
      </c>
      <c r="O201" t="s">
        <v>26</v>
      </c>
      <c r="P201" t="s">
        <v>27</v>
      </c>
      <c r="Q201" t="s">
        <v>230</v>
      </c>
      <c r="R201" t="s">
        <v>231</v>
      </c>
      <c r="S201" t="s">
        <v>30</v>
      </c>
      <c r="T201" t="str">
        <f>_xlfn.CONCAT(sales_data_sample[[#This Row],[CONTACTLASTNAME]]," ",sales_data_sample[[#This Row],[CONTACTFIRSTNAME]])</f>
        <v>Nelson Valarie</v>
      </c>
    </row>
    <row r="202" spans="1:20" x14ac:dyDescent="0.3">
      <c r="A202">
        <v>10193</v>
      </c>
      <c r="B202" t="s">
        <v>451</v>
      </c>
      <c r="C202" s="1">
        <v>37946</v>
      </c>
      <c r="D202" t="s">
        <v>62</v>
      </c>
      <c r="E202" t="s">
        <v>21</v>
      </c>
      <c r="F202">
        <v>28</v>
      </c>
      <c r="G202">
        <v>100</v>
      </c>
      <c r="H202">
        <v>3106.88</v>
      </c>
      <c r="I202">
        <v>7</v>
      </c>
      <c r="J202" t="s">
        <v>444</v>
      </c>
      <c r="K202">
        <v>102</v>
      </c>
      <c r="L202" t="s">
        <v>445</v>
      </c>
      <c r="M202" t="s">
        <v>452</v>
      </c>
      <c r="N202" t="s">
        <v>453</v>
      </c>
      <c r="O202" t="s">
        <v>84</v>
      </c>
      <c r="P202" t="s">
        <v>85</v>
      </c>
      <c r="Q202" t="s">
        <v>454</v>
      </c>
      <c r="R202" t="s">
        <v>455</v>
      </c>
      <c r="S202" t="s">
        <v>45</v>
      </c>
      <c r="T202" t="str">
        <f>_xlfn.CONCAT(sales_data_sample[[#This Row],[CONTACTLASTNAME]]," ",sales_data_sample[[#This Row],[CONTACTFIRSTNAME]])</f>
        <v>Connery Sean</v>
      </c>
    </row>
    <row r="203" spans="1:20" x14ac:dyDescent="0.3">
      <c r="A203">
        <v>10205</v>
      </c>
      <c r="B203" t="s">
        <v>151</v>
      </c>
      <c r="C203" s="1">
        <v>37958</v>
      </c>
      <c r="D203" t="s">
        <v>74</v>
      </c>
      <c r="E203" t="s">
        <v>21</v>
      </c>
      <c r="F203">
        <v>36</v>
      </c>
      <c r="G203">
        <v>100</v>
      </c>
      <c r="H203">
        <v>3735.72</v>
      </c>
      <c r="I203">
        <v>2</v>
      </c>
      <c r="J203" t="s">
        <v>444</v>
      </c>
      <c r="K203">
        <v>102</v>
      </c>
      <c r="L203" t="s">
        <v>445</v>
      </c>
      <c r="M203" t="s">
        <v>153</v>
      </c>
      <c r="N203" t="s">
        <v>154</v>
      </c>
      <c r="O203" t="s">
        <v>155</v>
      </c>
      <c r="P203" t="s">
        <v>36</v>
      </c>
      <c r="Q203" t="s">
        <v>156</v>
      </c>
      <c r="R203" t="s">
        <v>157</v>
      </c>
      <c r="S203" t="s">
        <v>45</v>
      </c>
      <c r="T203" t="str">
        <f>_xlfn.CONCAT(sales_data_sample[[#This Row],[CONTACTLASTNAME]]," ",sales_data_sample[[#This Row],[CONTACTFIRSTNAME]])</f>
        <v>Freyre Diego</v>
      </c>
    </row>
    <row r="204" spans="1:20" x14ac:dyDescent="0.3">
      <c r="A204">
        <v>10227</v>
      </c>
      <c r="B204" t="s">
        <v>188</v>
      </c>
      <c r="C204" s="1">
        <v>38048</v>
      </c>
      <c r="D204" t="s">
        <v>140</v>
      </c>
      <c r="E204" t="s">
        <v>21</v>
      </c>
      <c r="F204">
        <v>25</v>
      </c>
      <c r="G204">
        <v>100</v>
      </c>
      <c r="H204">
        <v>2953.75</v>
      </c>
      <c r="I204">
        <v>3</v>
      </c>
      <c r="J204" t="s">
        <v>444</v>
      </c>
      <c r="K204">
        <v>102</v>
      </c>
      <c r="L204" t="s">
        <v>445</v>
      </c>
      <c r="M204" t="s">
        <v>189</v>
      </c>
      <c r="N204" t="s">
        <v>190</v>
      </c>
      <c r="O204" t="s">
        <v>35</v>
      </c>
      <c r="P204" t="s">
        <v>36</v>
      </c>
      <c r="Q204" t="s">
        <v>191</v>
      </c>
      <c r="R204" t="s">
        <v>192</v>
      </c>
      <c r="S204" t="s">
        <v>30</v>
      </c>
      <c r="T204" t="str">
        <f>_xlfn.CONCAT(sales_data_sample[[#This Row],[CONTACTLASTNAME]]," ",sales_data_sample[[#This Row],[CONTACTFIRSTNAME]])</f>
        <v>Saveley Mary</v>
      </c>
    </row>
    <row r="205" spans="1:20" x14ac:dyDescent="0.3">
      <c r="A205">
        <v>10244</v>
      </c>
      <c r="B205" t="s">
        <v>151</v>
      </c>
      <c r="C205" s="1">
        <v>38106</v>
      </c>
      <c r="D205" t="s">
        <v>89</v>
      </c>
      <c r="E205" t="s">
        <v>21</v>
      </c>
      <c r="F205">
        <v>40</v>
      </c>
      <c r="G205">
        <v>100</v>
      </c>
      <c r="H205">
        <v>4684.8</v>
      </c>
      <c r="I205">
        <v>7</v>
      </c>
      <c r="J205" t="s">
        <v>444</v>
      </c>
      <c r="K205">
        <v>102</v>
      </c>
      <c r="L205" t="s">
        <v>445</v>
      </c>
      <c r="M205" t="s">
        <v>153</v>
      </c>
      <c r="N205" t="s">
        <v>154</v>
      </c>
      <c r="O205" t="s">
        <v>155</v>
      </c>
      <c r="P205" t="s">
        <v>36</v>
      </c>
      <c r="Q205" t="s">
        <v>156</v>
      </c>
      <c r="R205" t="s">
        <v>157</v>
      </c>
      <c r="S205" t="s">
        <v>45</v>
      </c>
      <c r="T205" t="str">
        <f>_xlfn.CONCAT(sales_data_sample[[#This Row],[CONTACTLASTNAME]]," ",sales_data_sample[[#This Row],[CONTACTFIRSTNAME]])</f>
        <v>Freyre Diego</v>
      </c>
    </row>
    <row r="206" spans="1:20" x14ac:dyDescent="0.3">
      <c r="A206">
        <v>10256</v>
      </c>
      <c r="B206" t="s">
        <v>265</v>
      </c>
      <c r="C206" s="1">
        <v>38146</v>
      </c>
      <c r="D206" t="s">
        <v>97</v>
      </c>
      <c r="E206" t="s">
        <v>21</v>
      </c>
      <c r="F206">
        <v>34</v>
      </c>
      <c r="G206">
        <v>95.55</v>
      </c>
      <c r="H206">
        <v>3248.7</v>
      </c>
      <c r="I206">
        <v>2</v>
      </c>
      <c r="J206" t="s">
        <v>444</v>
      </c>
      <c r="K206">
        <v>102</v>
      </c>
      <c r="L206" t="s">
        <v>445</v>
      </c>
      <c r="M206" t="s">
        <v>267</v>
      </c>
      <c r="N206" t="s">
        <v>268</v>
      </c>
      <c r="O206" t="s">
        <v>269</v>
      </c>
      <c r="P206" t="s">
        <v>36</v>
      </c>
      <c r="Q206" t="s">
        <v>270</v>
      </c>
      <c r="R206" t="s">
        <v>271</v>
      </c>
      <c r="S206" t="s">
        <v>45</v>
      </c>
      <c r="T206" t="str">
        <f>_xlfn.CONCAT(sales_data_sample[[#This Row],[CONTACTLASTNAME]]," ",sales_data_sample[[#This Row],[CONTACTFIRSTNAME]])</f>
        <v>Petersen Jytte</v>
      </c>
    </row>
    <row r="207" spans="1:20" x14ac:dyDescent="0.3">
      <c r="A207">
        <v>10289</v>
      </c>
      <c r="B207" t="s">
        <v>67</v>
      </c>
      <c r="C207" s="1">
        <v>38233</v>
      </c>
      <c r="D207" t="s">
        <v>112</v>
      </c>
      <c r="E207" t="s">
        <v>21</v>
      </c>
      <c r="F207">
        <v>38</v>
      </c>
      <c r="G207">
        <v>100</v>
      </c>
      <c r="H207">
        <v>4567.9799999999996</v>
      </c>
      <c r="I207">
        <v>2</v>
      </c>
      <c r="J207" t="s">
        <v>444</v>
      </c>
      <c r="K207">
        <v>102</v>
      </c>
      <c r="L207" t="s">
        <v>445</v>
      </c>
      <c r="M207" t="s">
        <v>68</v>
      </c>
      <c r="N207" t="s">
        <v>69</v>
      </c>
      <c r="O207" t="s">
        <v>70</v>
      </c>
      <c r="P207" t="s">
        <v>36</v>
      </c>
      <c r="Q207" t="s">
        <v>71</v>
      </c>
      <c r="R207" t="s">
        <v>72</v>
      </c>
      <c r="S207" t="s">
        <v>45</v>
      </c>
      <c r="T207" t="str">
        <f>_xlfn.CONCAT(sales_data_sample[[#This Row],[CONTACTLASTNAME]]," ",sales_data_sample[[#This Row],[CONTACTFIRSTNAME]])</f>
        <v>Oeztan Veysel</v>
      </c>
    </row>
    <row r="208" spans="1:20" x14ac:dyDescent="0.3">
      <c r="A208">
        <v>10332</v>
      </c>
      <c r="B208" t="s">
        <v>397</v>
      </c>
      <c r="C208" s="1">
        <v>38308</v>
      </c>
      <c r="D208" t="s">
        <v>62</v>
      </c>
      <c r="E208" t="s">
        <v>21</v>
      </c>
      <c r="F208">
        <v>46</v>
      </c>
      <c r="G208">
        <v>95.13</v>
      </c>
      <c r="H208">
        <v>4375.9799999999996</v>
      </c>
      <c r="I208">
        <v>15</v>
      </c>
      <c r="J208" t="s">
        <v>444</v>
      </c>
      <c r="K208">
        <v>102</v>
      </c>
      <c r="L208" t="s">
        <v>445</v>
      </c>
      <c r="M208" t="s">
        <v>398</v>
      </c>
      <c r="N208" t="s">
        <v>399</v>
      </c>
      <c r="O208" t="s">
        <v>148</v>
      </c>
      <c r="P208" t="s">
        <v>36</v>
      </c>
      <c r="Q208" t="s">
        <v>400</v>
      </c>
      <c r="R208" t="s">
        <v>401</v>
      </c>
      <c r="S208" t="s">
        <v>45</v>
      </c>
      <c r="T208" t="str">
        <f>_xlfn.CONCAT(sales_data_sample[[#This Row],[CONTACTLASTNAME]]," ",sales_data_sample[[#This Row],[CONTACTFIRSTNAME]])</f>
        <v>Ashworth Victoria</v>
      </c>
    </row>
    <row r="209" spans="1:20" x14ac:dyDescent="0.3">
      <c r="A209">
        <v>10346</v>
      </c>
      <c r="B209" t="s">
        <v>436</v>
      </c>
      <c r="C209" s="1">
        <v>38320</v>
      </c>
      <c r="D209" t="s">
        <v>62</v>
      </c>
      <c r="E209" t="s">
        <v>21</v>
      </c>
      <c r="F209">
        <v>42</v>
      </c>
      <c r="G209">
        <v>36.11</v>
      </c>
      <c r="H209">
        <v>1516.62</v>
      </c>
      <c r="I209">
        <v>3</v>
      </c>
      <c r="J209" t="s">
        <v>444</v>
      </c>
      <c r="K209">
        <v>102</v>
      </c>
      <c r="L209" t="s">
        <v>445</v>
      </c>
      <c r="M209" t="s">
        <v>437</v>
      </c>
      <c r="N209" t="s">
        <v>438</v>
      </c>
      <c r="O209" t="s">
        <v>26</v>
      </c>
      <c r="P209" t="s">
        <v>27</v>
      </c>
      <c r="Q209" t="s">
        <v>100</v>
      </c>
      <c r="R209" t="s">
        <v>326</v>
      </c>
      <c r="S209" t="s">
        <v>30</v>
      </c>
      <c r="T209" t="str">
        <f>_xlfn.CONCAT(sales_data_sample[[#This Row],[CONTACTLASTNAME]]," ",sales_data_sample[[#This Row],[CONTACTFIRSTNAME]])</f>
        <v>King Sue</v>
      </c>
    </row>
    <row r="210" spans="1:20" x14ac:dyDescent="0.3">
      <c r="A210">
        <v>10380</v>
      </c>
      <c r="B210" t="s">
        <v>151</v>
      </c>
      <c r="C210" s="1">
        <v>38399</v>
      </c>
      <c r="D210" t="s">
        <v>20</v>
      </c>
      <c r="E210" t="s">
        <v>21</v>
      </c>
      <c r="F210">
        <v>27</v>
      </c>
      <c r="G210">
        <v>93.16</v>
      </c>
      <c r="H210">
        <v>2515.3200000000002</v>
      </c>
      <c r="I210">
        <v>13</v>
      </c>
      <c r="J210" t="s">
        <v>444</v>
      </c>
      <c r="K210">
        <v>102</v>
      </c>
      <c r="L210" t="s">
        <v>445</v>
      </c>
      <c r="M210" t="s">
        <v>153</v>
      </c>
      <c r="N210" t="s">
        <v>154</v>
      </c>
      <c r="O210" t="s">
        <v>155</v>
      </c>
      <c r="P210" t="s">
        <v>36</v>
      </c>
      <c r="Q210" t="s">
        <v>156</v>
      </c>
      <c r="R210" t="s">
        <v>157</v>
      </c>
      <c r="S210" t="s">
        <v>30</v>
      </c>
      <c r="T210" t="str">
        <f>_xlfn.CONCAT(sales_data_sample[[#This Row],[CONTACTLASTNAME]]," ",sales_data_sample[[#This Row],[CONTACTFIRSTNAME]])</f>
        <v>Freyre Diego</v>
      </c>
    </row>
    <row r="211" spans="1:20" x14ac:dyDescent="0.3">
      <c r="A211">
        <v>10422</v>
      </c>
      <c r="B211" t="s">
        <v>123</v>
      </c>
      <c r="C211" s="1">
        <v>38502</v>
      </c>
      <c r="D211" t="s">
        <v>32</v>
      </c>
      <c r="E211" t="s">
        <v>249</v>
      </c>
      <c r="F211">
        <v>51</v>
      </c>
      <c r="G211">
        <v>95.55</v>
      </c>
      <c r="H211">
        <v>4873.05</v>
      </c>
      <c r="I211">
        <v>2</v>
      </c>
      <c r="J211" t="s">
        <v>444</v>
      </c>
      <c r="K211">
        <v>102</v>
      </c>
      <c r="L211" t="s">
        <v>445</v>
      </c>
      <c r="M211" t="s">
        <v>124</v>
      </c>
      <c r="N211" t="s">
        <v>125</v>
      </c>
      <c r="O211" t="s">
        <v>26</v>
      </c>
      <c r="P211" t="s">
        <v>27</v>
      </c>
      <c r="Q211" t="s">
        <v>28</v>
      </c>
      <c r="R211" t="s">
        <v>126</v>
      </c>
      <c r="S211" t="s">
        <v>45</v>
      </c>
      <c r="T211" t="str">
        <f>_xlfn.CONCAT(sales_data_sample[[#This Row],[CONTACTLASTNAME]]," ",sales_data_sample[[#This Row],[CONTACTFIRSTNAME]])</f>
        <v>Yu Kyung</v>
      </c>
    </row>
    <row r="212" spans="1:20" x14ac:dyDescent="0.3">
      <c r="A212">
        <v>10110</v>
      </c>
      <c r="B212" t="s">
        <v>397</v>
      </c>
      <c r="C212" s="1">
        <v>37698</v>
      </c>
      <c r="D212" t="s">
        <v>140</v>
      </c>
      <c r="E212" t="s">
        <v>21</v>
      </c>
      <c r="F212">
        <v>37</v>
      </c>
      <c r="G212">
        <v>100</v>
      </c>
      <c r="H212">
        <v>5433.08</v>
      </c>
      <c r="I212">
        <v>16</v>
      </c>
      <c r="J212" t="s">
        <v>158</v>
      </c>
      <c r="K212">
        <v>124</v>
      </c>
      <c r="L212" t="s">
        <v>456</v>
      </c>
      <c r="M212" t="s">
        <v>398</v>
      </c>
      <c r="N212" t="s">
        <v>399</v>
      </c>
      <c r="O212" t="s">
        <v>148</v>
      </c>
      <c r="P212" t="s">
        <v>36</v>
      </c>
      <c r="Q212" t="s">
        <v>400</v>
      </c>
      <c r="R212" t="s">
        <v>401</v>
      </c>
      <c r="S212" t="s">
        <v>45</v>
      </c>
      <c r="T212" t="str">
        <f>_xlfn.CONCAT(sales_data_sample[[#This Row],[CONTACTLASTNAME]]," ",sales_data_sample[[#This Row],[CONTACTFIRSTNAME]])</f>
        <v>Ashworth Victoria</v>
      </c>
    </row>
    <row r="213" spans="1:20" x14ac:dyDescent="0.3">
      <c r="A213">
        <v>10123</v>
      </c>
      <c r="B213" t="s">
        <v>258</v>
      </c>
      <c r="C213" s="1">
        <v>37761</v>
      </c>
      <c r="D213" t="s">
        <v>32</v>
      </c>
      <c r="E213" t="s">
        <v>21</v>
      </c>
      <c r="F213">
        <v>26</v>
      </c>
      <c r="G213">
        <v>100</v>
      </c>
      <c r="H213">
        <v>3073.72</v>
      </c>
      <c r="I213">
        <v>2</v>
      </c>
      <c r="J213" t="s">
        <v>158</v>
      </c>
      <c r="K213">
        <v>124</v>
      </c>
      <c r="L213" t="s">
        <v>456</v>
      </c>
      <c r="M213" t="s">
        <v>102</v>
      </c>
      <c r="N213" t="s">
        <v>103</v>
      </c>
      <c r="O213" t="s">
        <v>35</v>
      </c>
      <c r="P213" t="s">
        <v>36</v>
      </c>
      <c r="Q213" t="s">
        <v>259</v>
      </c>
      <c r="R213" t="s">
        <v>260</v>
      </c>
      <c r="S213" t="s">
        <v>45</v>
      </c>
      <c r="T213" t="str">
        <f>_xlfn.CONCAT(sales_data_sample[[#This Row],[CONTACTLASTNAME]]," ",sales_data_sample[[#This Row],[CONTACTFIRSTNAME]])</f>
        <v>Schmitt Carine</v>
      </c>
    </row>
    <row r="214" spans="1:20" x14ac:dyDescent="0.3">
      <c r="A214">
        <v>10137</v>
      </c>
      <c r="B214" t="s">
        <v>31</v>
      </c>
      <c r="C214" s="1">
        <v>37812</v>
      </c>
      <c r="D214" t="s">
        <v>40</v>
      </c>
      <c r="E214" t="s">
        <v>21</v>
      </c>
      <c r="F214">
        <v>44</v>
      </c>
      <c r="G214">
        <v>99.55</v>
      </c>
      <c r="H214">
        <v>4380.2</v>
      </c>
      <c r="I214">
        <v>2</v>
      </c>
      <c r="J214" t="s">
        <v>158</v>
      </c>
      <c r="K214">
        <v>124</v>
      </c>
      <c r="L214" t="s">
        <v>456</v>
      </c>
      <c r="M214" t="s">
        <v>33</v>
      </c>
      <c r="N214" t="s">
        <v>34</v>
      </c>
      <c r="O214" t="s">
        <v>35</v>
      </c>
      <c r="P214" t="s">
        <v>36</v>
      </c>
      <c r="Q214" t="s">
        <v>37</v>
      </c>
      <c r="R214" t="s">
        <v>38</v>
      </c>
      <c r="S214" t="s">
        <v>45</v>
      </c>
      <c r="T214" t="str">
        <f>_xlfn.CONCAT(sales_data_sample[[#This Row],[CONTACTLASTNAME]]," ",sales_data_sample[[#This Row],[CONTACTFIRSTNAME]])</f>
        <v>Henriot Paul</v>
      </c>
    </row>
    <row r="215" spans="1:20" x14ac:dyDescent="0.3">
      <c r="A215">
        <v>10172</v>
      </c>
      <c r="B215" t="s">
        <v>96</v>
      </c>
      <c r="C215" s="1">
        <v>37930</v>
      </c>
      <c r="D215" t="s">
        <v>62</v>
      </c>
      <c r="E215" t="s">
        <v>21</v>
      </c>
      <c r="F215">
        <v>42</v>
      </c>
      <c r="G215">
        <v>100</v>
      </c>
      <c r="H215">
        <v>4965.24</v>
      </c>
      <c r="I215">
        <v>6</v>
      </c>
      <c r="J215" t="s">
        <v>158</v>
      </c>
      <c r="K215">
        <v>124</v>
      </c>
      <c r="L215" t="s">
        <v>456</v>
      </c>
      <c r="M215" t="s">
        <v>98</v>
      </c>
      <c r="N215" t="s">
        <v>99</v>
      </c>
      <c r="O215" t="s">
        <v>26</v>
      </c>
      <c r="P215" t="s">
        <v>27</v>
      </c>
      <c r="Q215" t="s">
        <v>100</v>
      </c>
      <c r="R215" t="s">
        <v>51</v>
      </c>
      <c r="S215" t="s">
        <v>45</v>
      </c>
      <c r="T215" t="str">
        <f>_xlfn.CONCAT(sales_data_sample[[#This Row],[CONTACTLASTNAME]]," ",sales_data_sample[[#This Row],[CONTACTFIRSTNAME]])</f>
        <v>King Julie</v>
      </c>
    </row>
    <row r="216" spans="1:20" x14ac:dyDescent="0.3">
      <c r="A216">
        <v>10226</v>
      </c>
      <c r="B216" t="s">
        <v>297</v>
      </c>
      <c r="C216" s="1">
        <v>38043</v>
      </c>
      <c r="D216" t="s">
        <v>20</v>
      </c>
      <c r="E216" t="s">
        <v>21</v>
      </c>
      <c r="F216">
        <v>38</v>
      </c>
      <c r="G216">
        <v>100</v>
      </c>
      <c r="H216">
        <v>4161.38</v>
      </c>
      <c r="I216">
        <v>4</v>
      </c>
      <c r="J216" t="s">
        <v>158</v>
      </c>
      <c r="K216">
        <v>124</v>
      </c>
      <c r="L216" t="s">
        <v>456</v>
      </c>
      <c r="M216" t="s">
        <v>298</v>
      </c>
      <c r="N216" t="s">
        <v>299</v>
      </c>
      <c r="O216" t="s">
        <v>26</v>
      </c>
      <c r="P216" t="s">
        <v>27</v>
      </c>
      <c r="Q216" t="s">
        <v>201</v>
      </c>
      <c r="R216" t="s">
        <v>231</v>
      </c>
      <c r="S216" t="s">
        <v>45</v>
      </c>
      <c r="T216" t="str">
        <f>_xlfn.CONCAT(sales_data_sample[[#This Row],[CONTACTLASTNAME]]," ",sales_data_sample[[#This Row],[CONTACTFIRSTNAME]])</f>
        <v>Thompson Valarie</v>
      </c>
    </row>
    <row r="217" spans="1:20" x14ac:dyDescent="0.3">
      <c r="A217">
        <v>10241</v>
      </c>
      <c r="B217" t="s">
        <v>430</v>
      </c>
      <c r="C217" s="1">
        <v>38090</v>
      </c>
      <c r="D217" t="s">
        <v>89</v>
      </c>
      <c r="E217" t="s">
        <v>21</v>
      </c>
      <c r="F217">
        <v>21</v>
      </c>
      <c r="G217">
        <v>100</v>
      </c>
      <c r="H217">
        <v>2508.66</v>
      </c>
      <c r="I217">
        <v>11</v>
      </c>
      <c r="J217" t="s">
        <v>158</v>
      </c>
      <c r="K217">
        <v>124</v>
      </c>
      <c r="L217" t="s">
        <v>456</v>
      </c>
      <c r="M217" t="s">
        <v>431</v>
      </c>
      <c r="N217" t="s">
        <v>432</v>
      </c>
      <c r="O217" t="s">
        <v>35</v>
      </c>
      <c r="P217" t="s">
        <v>36</v>
      </c>
      <c r="Q217" t="s">
        <v>433</v>
      </c>
      <c r="R217" t="s">
        <v>434</v>
      </c>
      <c r="S217" t="s">
        <v>30</v>
      </c>
      <c r="T217" t="str">
        <f>_xlfn.CONCAT(sales_data_sample[[#This Row],[CONTACTLASTNAME]]," ",sales_data_sample[[#This Row],[CONTACTFIRSTNAME]])</f>
        <v>Citeaux Frederique</v>
      </c>
    </row>
    <row r="218" spans="1:20" x14ac:dyDescent="0.3">
      <c r="A218">
        <v>10288</v>
      </c>
      <c r="B218" t="s">
        <v>341</v>
      </c>
      <c r="C218" s="1">
        <v>38231</v>
      </c>
      <c r="D218" t="s">
        <v>112</v>
      </c>
      <c r="E218" t="s">
        <v>21</v>
      </c>
      <c r="F218">
        <v>20</v>
      </c>
      <c r="G218">
        <v>100</v>
      </c>
      <c r="H218">
        <v>2936.8</v>
      </c>
      <c r="I218">
        <v>14</v>
      </c>
      <c r="J218" t="s">
        <v>158</v>
      </c>
      <c r="K218">
        <v>124</v>
      </c>
      <c r="L218" t="s">
        <v>456</v>
      </c>
      <c r="M218" t="s">
        <v>171</v>
      </c>
      <c r="N218" t="s">
        <v>342</v>
      </c>
      <c r="O218" t="s">
        <v>171</v>
      </c>
      <c r="P218" t="s">
        <v>85</v>
      </c>
      <c r="Q218" t="s">
        <v>343</v>
      </c>
      <c r="R218" t="s">
        <v>344</v>
      </c>
      <c r="S218" t="s">
        <v>30</v>
      </c>
      <c r="T218" t="str">
        <f>_xlfn.CONCAT(sales_data_sample[[#This Row],[CONTACTLASTNAME]]," ",sales_data_sample[[#This Row],[CONTACTFIRSTNAME]])</f>
        <v>Victorino Wendy</v>
      </c>
    </row>
    <row r="219" spans="1:20" x14ac:dyDescent="0.3">
      <c r="A219">
        <v>10311</v>
      </c>
      <c r="B219" t="s">
        <v>151</v>
      </c>
      <c r="C219" s="1">
        <v>38276</v>
      </c>
      <c r="D219" t="s">
        <v>53</v>
      </c>
      <c r="E219" t="s">
        <v>21</v>
      </c>
      <c r="F219">
        <v>29</v>
      </c>
      <c r="G219">
        <v>100</v>
      </c>
      <c r="H219">
        <v>2923.2</v>
      </c>
      <c r="I219">
        <v>9</v>
      </c>
      <c r="J219" t="s">
        <v>158</v>
      </c>
      <c r="K219">
        <v>124</v>
      </c>
      <c r="L219" t="s">
        <v>456</v>
      </c>
      <c r="M219" t="s">
        <v>153</v>
      </c>
      <c r="N219" t="s">
        <v>154</v>
      </c>
      <c r="O219" t="s">
        <v>155</v>
      </c>
      <c r="P219" t="s">
        <v>36</v>
      </c>
      <c r="Q219" t="s">
        <v>156</v>
      </c>
      <c r="R219" t="s">
        <v>157</v>
      </c>
      <c r="S219" t="s">
        <v>30</v>
      </c>
      <c r="T219" t="str">
        <f>_xlfn.CONCAT(sales_data_sample[[#This Row],[CONTACTLASTNAME]]," ",sales_data_sample[[#This Row],[CONTACTFIRSTNAME]])</f>
        <v>Freyre Diego</v>
      </c>
    </row>
    <row r="220" spans="1:20" x14ac:dyDescent="0.3">
      <c r="A220">
        <v>10343</v>
      </c>
      <c r="B220" t="s">
        <v>31</v>
      </c>
      <c r="C220" s="1">
        <v>38315</v>
      </c>
      <c r="D220" t="s">
        <v>62</v>
      </c>
      <c r="E220" t="s">
        <v>21</v>
      </c>
      <c r="F220">
        <v>36</v>
      </c>
      <c r="G220">
        <v>100</v>
      </c>
      <c r="H220">
        <v>5848.92</v>
      </c>
      <c r="I220">
        <v>4</v>
      </c>
      <c r="J220" t="s">
        <v>158</v>
      </c>
      <c r="K220">
        <v>124</v>
      </c>
      <c r="L220" t="s">
        <v>456</v>
      </c>
      <c r="M220" t="s">
        <v>33</v>
      </c>
      <c r="N220" t="s">
        <v>34</v>
      </c>
      <c r="O220" t="s">
        <v>35</v>
      </c>
      <c r="P220" t="s">
        <v>36</v>
      </c>
      <c r="Q220" t="s">
        <v>37</v>
      </c>
      <c r="R220" t="s">
        <v>38</v>
      </c>
      <c r="S220" t="s">
        <v>45</v>
      </c>
      <c r="T220" t="str">
        <f>_xlfn.CONCAT(sales_data_sample[[#This Row],[CONTACTLASTNAME]]," ",sales_data_sample[[#This Row],[CONTACTFIRSTNAME]])</f>
        <v>Henriot Paul</v>
      </c>
    </row>
    <row r="221" spans="1:20" x14ac:dyDescent="0.3">
      <c r="A221">
        <v>10367</v>
      </c>
      <c r="B221" t="s">
        <v>46</v>
      </c>
      <c r="C221" s="1">
        <v>38364</v>
      </c>
      <c r="D221" t="s">
        <v>77</v>
      </c>
      <c r="E221" t="s">
        <v>334</v>
      </c>
      <c r="F221">
        <v>49</v>
      </c>
      <c r="G221">
        <v>56.3</v>
      </c>
      <c r="H221">
        <v>2758.7</v>
      </c>
      <c r="I221">
        <v>1</v>
      </c>
      <c r="J221" t="s">
        <v>158</v>
      </c>
      <c r="K221">
        <v>124</v>
      </c>
      <c r="L221" t="s">
        <v>456</v>
      </c>
      <c r="M221" t="s">
        <v>48</v>
      </c>
      <c r="N221" t="s">
        <v>49</v>
      </c>
      <c r="O221" t="s">
        <v>26</v>
      </c>
      <c r="P221" t="s">
        <v>27</v>
      </c>
      <c r="Q221" t="s">
        <v>50</v>
      </c>
      <c r="R221" t="s">
        <v>51</v>
      </c>
      <c r="S221" t="s">
        <v>30</v>
      </c>
      <c r="T221" t="str">
        <f>_xlfn.CONCAT(sales_data_sample[[#This Row],[CONTACTLASTNAME]]," ",sales_data_sample[[#This Row],[CONTACTFIRSTNAME]])</f>
        <v>Young Julie</v>
      </c>
    </row>
    <row r="222" spans="1:20" x14ac:dyDescent="0.3">
      <c r="A222">
        <v>10378</v>
      </c>
      <c r="B222" t="s">
        <v>151</v>
      </c>
      <c r="C222" s="1">
        <v>38393</v>
      </c>
      <c r="D222" t="s">
        <v>20</v>
      </c>
      <c r="E222" t="s">
        <v>21</v>
      </c>
      <c r="F222">
        <v>34</v>
      </c>
      <c r="G222">
        <v>42.64</v>
      </c>
      <c r="H222">
        <v>1449.76</v>
      </c>
      <c r="I222">
        <v>5</v>
      </c>
      <c r="J222" t="s">
        <v>158</v>
      </c>
      <c r="K222">
        <v>124</v>
      </c>
      <c r="L222" t="s">
        <v>456</v>
      </c>
      <c r="M222" t="s">
        <v>153</v>
      </c>
      <c r="N222" t="s">
        <v>154</v>
      </c>
      <c r="O222" t="s">
        <v>155</v>
      </c>
      <c r="P222" t="s">
        <v>36</v>
      </c>
      <c r="Q222" t="s">
        <v>156</v>
      </c>
      <c r="R222" t="s">
        <v>157</v>
      </c>
      <c r="S222" t="s">
        <v>30</v>
      </c>
      <c r="T222" t="str">
        <f>_xlfn.CONCAT(sales_data_sample[[#This Row],[CONTACTLASTNAME]]," ",sales_data_sample[[#This Row],[CONTACTFIRSTNAME]])</f>
        <v>Freyre Diego</v>
      </c>
    </row>
    <row r="223" spans="1:20" x14ac:dyDescent="0.3">
      <c r="A223">
        <v>10407</v>
      </c>
      <c r="B223" t="s">
        <v>324</v>
      </c>
      <c r="C223" s="1">
        <v>38464</v>
      </c>
      <c r="D223" t="s">
        <v>89</v>
      </c>
      <c r="E223" t="s">
        <v>327</v>
      </c>
      <c r="F223">
        <v>59</v>
      </c>
      <c r="G223">
        <v>100</v>
      </c>
      <c r="H223">
        <v>7048.14</v>
      </c>
      <c r="I223">
        <v>11</v>
      </c>
      <c r="J223" t="s">
        <v>158</v>
      </c>
      <c r="K223">
        <v>124</v>
      </c>
      <c r="L223" t="s">
        <v>456</v>
      </c>
      <c r="M223" t="s">
        <v>325</v>
      </c>
      <c r="N223" t="s">
        <v>58</v>
      </c>
      <c r="O223" t="s">
        <v>26</v>
      </c>
      <c r="P223" t="s">
        <v>27</v>
      </c>
      <c r="Q223" t="s">
        <v>90</v>
      </c>
      <c r="R223" t="s">
        <v>326</v>
      </c>
      <c r="S223" t="s">
        <v>133</v>
      </c>
      <c r="T223" t="str">
        <f>_xlfn.CONCAT(sales_data_sample[[#This Row],[CONTACTLASTNAME]]," ",sales_data_sample[[#This Row],[CONTACTFIRSTNAME]])</f>
        <v>Frick Sue</v>
      </c>
    </row>
    <row r="224" spans="1:20" x14ac:dyDescent="0.3">
      <c r="A224">
        <v>10106</v>
      </c>
      <c r="B224" t="s">
        <v>446</v>
      </c>
      <c r="C224" s="1">
        <v>37669</v>
      </c>
      <c r="D224" t="s">
        <v>20</v>
      </c>
      <c r="E224" t="s">
        <v>21</v>
      </c>
      <c r="F224">
        <v>36</v>
      </c>
      <c r="G224">
        <v>100</v>
      </c>
      <c r="H224">
        <v>5279.4</v>
      </c>
      <c r="I224">
        <v>12</v>
      </c>
      <c r="J224" t="s">
        <v>457</v>
      </c>
      <c r="K224">
        <v>157</v>
      </c>
      <c r="L224" t="s">
        <v>458</v>
      </c>
      <c r="M224" t="s">
        <v>447</v>
      </c>
      <c r="N224" t="s">
        <v>448</v>
      </c>
      <c r="O224" t="s">
        <v>217</v>
      </c>
      <c r="P224" t="s">
        <v>36</v>
      </c>
      <c r="Q224" t="s">
        <v>449</v>
      </c>
      <c r="R224" t="s">
        <v>450</v>
      </c>
      <c r="S224" t="s">
        <v>45</v>
      </c>
      <c r="T224" t="str">
        <f>_xlfn.CONCAT(sales_data_sample[[#This Row],[CONTACTLASTNAME]]," ",sales_data_sample[[#This Row],[CONTACTFIRSTNAME]])</f>
        <v>Rovelli Giovanni</v>
      </c>
    </row>
    <row r="225" spans="1:20" x14ac:dyDescent="0.3">
      <c r="A225">
        <v>10131</v>
      </c>
      <c r="B225" t="s">
        <v>459</v>
      </c>
      <c r="C225" s="1">
        <v>37788</v>
      </c>
      <c r="D225" t="s">
        <v>97</v>
      </c>
      <c r="E225" t="s">
        <v>21</v>
      </c>
      <c r="F225">
        <v>21</v>
      </c>
      <c r="G225">
        <v>100</v>
      </c>
      <c r="H225">
        <v>2781.66</v>
      </c>
      <c r="I225">
        <v>4</v>
      </c>
      <c r="J225" t="s">
        <v>457</v>
      </c>
      <c r="K225">
        <v>157</v>
      </c>
      <c r="L225" t="s">
        <v>458</v>
      </c>
      <c r="M225" t="s">
        <v>416</v>
      </c>
      <c r="N225" t="s">
        <v>460</v>
      </c>
      <c r="O225" t="s">
        <v>26</v>
      </c>
      <c r="P225" t="s">
        <v>27</v>
      </c>
      <c r="Q225" t="s">
        <v>461</v>
      </c>
      <c r="R225" t="s">
        <v>462</v>
      </c>
      <c r="S225" t="s">
        <v>30</v>
      </c>
      <c r="T225" t="str">
        <f>_xlfn.CONCAT(sales_data_sample[[#This Row],[CONTACTLASTNAME]]," ",sales_data_sample[[#This Row],[CONTACTFIRSTNAME]])</f>
        <v>Lewis Dan</v>
      </c>
    </row>
    <row r="226" spans="1:20" x14ac:dyDescent="0.3">
      <c r="A226">
        <v>10198</v>
      </c>
      <c r="B226" t="s">
        <v>345</v>
      </c>
      <c r="C226" s="1">
        <v>37952</v>
      </c>
      <c r="D226" t="s">
        <v>62</v>
      </c>
      <c r="E226" t="s">
        <v>21</v>
      </c>
      <c r="F226">
        <v>42</v>
      </c>
      <c r="G226">
        <v>100</v>
      </c>
      <c r="H226">
        <v>7483.98</v>
      </c>
      <c r="I226">
        <v>4</v>
      </c>
      <c r="J226" t="s">
        <v>457</v>
      </c>
      <c r="K226">
        <v>157</v>
      </c>
      <c r="L226" t="s">
        <v>458</v>
      </c>
      <c r="M226" t="s">
        <v>347</v>
      </c>
      <c r="N226" t="s">
        <v>348</v>
      </c>
      <c r="O226" t="s">
        <v>349</v>
      </c>
      <c r="P226" t="s">
        <v>173</v>
      </c>
      <c r="Q226" t="s">
        <v>350</v>
      </c>
      <c r="R226" t="s">
        <v>351</v>
      </c>
      <c r="S226" t="s">
        <v>133</v>
      </c>
      <c r="T226" t="str">
        <f>_xlfn.CONCAT(sales_data_sample[[#This Row],[CONTACTLASTNAME]]," ",sales_data_sample[[#This Row],[CONTACTFIRSTNAME]])</f>
        <v>Cruz Arnold</v>
      </c>
    </row>
    <row r="227" spans="1:20" x14ac:dyDescent="0.3">
      <c r="A227">
        <v>10250</v>
      </c>
      <c r="B227" t="s">
        <v>324</v>
      </c>
      <c r="C227" s="1">
        <v>38118</v>
      </c>
      <c r="D227" t="s">
        <v>32</v>
      </c>
      <c r="E227" t="s">
        <v>21</v>
      </c>
      <c r="F227">
        <v>45</v>
      </c>
      <c r="G227">
        <v>100</v>
      </c>
      <c r="H227">
        <v>8160.3</v>
      </c>
      <c r="I227">
        <v>14</v>
      </c>
      <c r="J227" t="s">
        <v>457</v>
      </c>
      <c r="K227">
        <v>157</v>
      </c>
      <c r="L227" t="s">
        <v>458</v>
      </c>
      <c r="M227" t="s">
        <v>325</v>
      </c>
      <c r="N227" t="s">
        <v>58</v>
      </c>
      <c r="O227" t="s">
        <v>26</v>
      </c>
      <c r="P227" t="s">
        <v>27</v>
      </c>
      <c r="Q227" t="s">
        <v>90</v>
      </c>
      <c r="R227" t="s">
        <v>326</v>
      </c>
      <c r="S227" t="s">
        <v>133</v>
      </c>
      <c r="T227" t="str">
        <f>_xlfn.CONCAT(sales_data_sample[[#This Row],[CONTACTLASTNAME]]," ",sales_data_sample[[#This Row],[CONTACTFIRSTNAME]])</f>
        <v>Frick Sue</v>
      </c>
    </row>
    <row r="228" spans="1:20" x14ac:dyDescent="0.3">
      <c r="A228">
        <v>10262</v>
      </c>
      <c r="B228" t="s">
        <v>151</v>
      </c>
      <c r="C228" s="1">
        <v>38162</v>
      </c>
      <c r="D228" t="s">
        <v>97</v>
      </c>
      <c r="E228" t="s">
        <v>279</v>
      </c>
      <c r="F228">
        <v>49</v>
      </c>
      <c r="G228">
        <v>100</v>
      </c>
      <c r="H228">
        <v>6567.96</v>
      </c>
      <c r="I228">
        <v>9</v>
      </c>
      <c r="J228" t="s">
        <v>457</v>
      </c>
      <c r="K228">
        <v>157</v>
      </c>
      <c r="L228" t="s">
        <v>458</v>
      </c>
      <c r="M228" t="s">
        <v>153</v>
      </c>
      <c r="N228" t="s">
        <v>154</v>
      </c>
      <c r="O228" t="s">
        <v>155</v>
      </c>
      <c r="P228" t="s">
        <v>36</v>
      </c>
      <c r="Q228" t="s">
        <v>156</v>
      </c>
      <c r="R228" t="s">
        <v>157</v>
      </c>
      <c r="S228" t="s">
        <v>45</v>
      </c>
      <c r="T228" t="str">
        <f>_xlfn.CONCAT(sales_data_sample[[#This Row],[CONTACTLASTNAME]]," ",sales_data_sample[[#This Row],[CONTACTFIRSTNAME]])</f>
        <v>Freyre Diego</v>
      </c>
    </row>
    <row r="229" spans="1:20" x14ac:dyDescent="0.3">
      <c r="A229">
        <v>10274</v>
      </c>
      <c r="B229" t="s">
        <v>235</v>
      </c>
      <c r="C229" s="1">
        <v>38189</v>
      </c>
      <c r="D229" t="s">
        <v>40</v>
      </c>
      <c r="E229" t="s">
        <v>21</v>
      </c>
      <c r="F229">
        <v>41</v>
      </c>
      <c r="G229">
        <v>100</v>
      </c>
      <c r="H229">
        <v>6724</v>
      </c>
      <c r="I229">
        <v>1</v>
      </c>
      <c r="J229" t="s">
        <v>457</v>
      </c>
      <c r="K229">
        <v>157</v>
      </c>
      <c r="L229" t="s">
        <v>458</v>
      </c>
      <c r="M229" t="s">
        <v>236</v>
      </c>
      <c r="N229" t="s">
        <v>237</v>
      </c>
      <c r="O229" t="s">
        <v>26</v>
      </c>
      <c r="P229" t="s">
        <v>27</v>
      </c>
      <c r="Q229" t="s">
        <v>230</v>
      </c>
      <c r="R229" t="s">
        <v>238</v>
      </c>
      <c r="S229" t="s">
        <v>45</v>
      </c>
      <c r="T229" t="str">
        <f>_xlfn.CONCAT(sales_data_sample[[#This Row],[CONTACTLASTNAME]]," ",sales_data_sample[[#This Row],[CONTACTFIRSTNAME]])</f>
        <v>Nelson Allen</v>
      </c>
    </row>
    <row r="230" spans="1:20" x14ac:dyDescent="0.3">
      <c r="A230">
        <v>10284</v>
      </c>
      <c r="B230" t="s">
        <v>439</v>
      </c>
      <c r="C230" s="1">
        <v>38220</v>
      </c>
      <c r="D230" t="s">
        <v>47</v>
      </c>
      <c r="E230" t="s">
        <v>21</v>
      </c>
      <c r="F230">
        <v>45</v>
      </c>
      <c r="G230">
        <v>100</v>
      </c>
      <c r="H230">
        <v>5747.85</v>
      </c>
      <c r="I230">
        <v>11</v>
      </c>
      <c r="J230" t="s">
        <v>457</v>
      </c>
      <c r="K230">
        <v>157</v>
      </c>
      <c r="L230" t="s">
        <v>458</v>
      </c>
      <c r="M230" t="s">
        <v>440</v>
      </c>
      <c r="N230" t="s">
        <v>441</v>
      </c>
      <c r="O230" t="s">
        <v>70</v>
      </c>
      <c r="P230" t="s">
        <v>36</v>
      </c>
      <c r="Q230" t="s">
        <v>442</v>
      </c>
      <c r="R230" t="s">
        <v>443</v>
      </c>
      <c r="S230" t="s">
        <v>45</v>
      </c>
      <c r="T230" t="str">
        <f>_xlfn.CONCAT(sales_data_sample[[#This Row],[CONTACTLASTNAME]]," ",sales_data_sample[[#This Row],[CONTACTFIRSTNAME]])</f>
        <v>Klaeboe Jan</v>
      </c>
    </row>
    <row r="231" spans="1:20" x14ac:dyDescent="0.3">
      <c r="A231">
        <v>10296</v>
      </c>
      <c r="B231" t="s">
        <v>463</v>
      </c>
      <c r="C231" s="1">
        <v>38245</v>
      </c>
      <c r="D231" t="s">
        <v>112</v>
      </c>
      <c r="E231" t="s">
        <v>21</v>
      </c>
      <c r="F231">
        <v>36</v>
      </c>
      <c r="G231">
        <v>100</v>
      </c>
      <c r="H231">
        <v>5676.84</v>
      </c>
      <c r="I231">
        <v>7</v>
      </c>
      <c r="J231" t="s">
        <v>457</v>
      </c>
      <c r="K231">
        <v>157</v>
      </c>
      <c r="L231" t="s">
        <v>458</v>
      </c>
      <c r="M231" t="s">
        <v>464</v>
      </c>
      <c r="N231" t="s">
        <v>465</v>
      </c>
      <c r="O231" t="s">
        <v>360</v>
      </c>
      <c r="P231" t="s">
        <v>36</v>
      </c>
      <c r="Q231" t="s">
        <v>466</v>
      </c>
      <c r="R231" t="s">
        <v>91</v>
      </c>
      <c r="S231" t="s">
        <v>45</v>
      </c>
      <c r="T231" t="str">
        <f>_xlfn.CONCAT(sales_data_sample[[#This Row],[CONTACTLASTNAME]]," ",sales_data_sample[[#This Row],[CONTACTFIRSTNAME]])</f>
        <v>Donnermeyer Michael</v>
      </c>
    </row>
    <row r="232" spans="1:20" x14ac:dyDescent="0.3">
      <c r="A232">
        <v>10327</v>
      </c>
      <c r="B232" t="s">
        <v>265</v>
      </c>
      <c r="C232" s="1">
        <v>38301</v>
      </c>
      <c r="D232" t="s">
        <v>62</v>
      </c>
      <c r="E232" t="s">
        <v>334</v>
      </c>
      <c r="F232">
        <v>25</v>
      </c>
      <c r="G232">
        <v>100</v>
      </c>
      <c r="H232">
        <v>2804.75</v>
      </c>
      <c r="I232">
        <v>6</v>
      </c>
      <c r="J232" t="s">
        <v>457</v>
      </c>
      <c r="K232">
        <v>157</v>
      </c>
      <c r="L232" t="s">
        <v>458</v>
      </c>
      <c r="M232" t="s">
        <v>267</v>
      </c>
      <c r="N232" t="s">
        <v>268</v>
      </c>
      <c r="O232" t="s">
        <v>269</v>
      </c>
      <c r="P232" t="s">
        <v>36</v>
      </c>
      <c r="Q232" t="s">
        <v>270</v>
      </c>
      <c r="R232" t="s">
        <v>271</v>
      </c>
      <c r="S232" t="s">
        <v>30</v>
      </c>
      <c r="T232" t="str">
        <f>_xlfn.CONCAT(sales_data_sample[[#This Row],[CONTACTLASTNAME]]," ",sales_data_sample[[#This Row],[CONTACTFIRSTNAME]])</f>
        <v>Petersen Jytte</v>
      </c>
    </row>
    <row r="233" spans="1:20" x14ac:dyDescent="0.3">
      <c r="A233">
        <v>10338</v>
      </c>
      <c r="B233" t="s">
        <v>467</v>
      </c>
      <c r="C233" s="1">
        <v>38313</v>
      </c>
      <c r="D233" t="s">
        <v>62</v>
      </c>
      <c r="E233" t="s">
        <v>21</v>
      </c>
      <c r="F233">
        <v>41</v>
      </c>
      <c r="G233">
        <v>100</v>
      </c>
      <c r="H233">
        <v>5624.79</v>
      </c>
      <c r="I233">
        <v>1</v>
      </c>
      <c r="J233" t="s">
        <v>457</v>
      </c>
      <c r="K233">
        <v>157</v>
      </c>
      <c r="L233" t="s">
        <v>458</v>
      </c>
      <c r="M233" t="s">
        <v>468</v>
      </c>
      <c r="N233" t="s">
        <v>469</v>
      </c>
      <c r="O233" t="s">
        <v>303</v>
      </c>
      <c r="P233" t="s">
        <v>36</v>
      </c>
      <c r="Q233" t="s">
        <v>470</v>
      </c>
      <c r="R233" t="s">
        <v>471</v>
      </c>
      <c r="S233" t="s">
        <v>45</v>
      </c>
      <c r="T233" t="str">
        <f>_xlfn.CONCAT(sales_data_sample[[#This Row],[CONTACTLASTNAME]]," ",sales_data_sample[[#This Row],[CONTACTFIRSTNAME]])</f>
        <v>Cartrain Pascale</v>
      </c>
    </row>
    <row r="234" spans="1:20" x14ac:dyDescent="0.3">
      <c r="A234">
        <v>10351</v>
      </c>
      <c r="B234" t="s">
        <v>272</v>
      </c>
      <c r="C234" s="1">
        <v>38324</v>
      </c>
      <c r="D234" t="s">
        <v>74</v>
      </c>
      <c r="E234" t="s">
        <v>21</v>
      </c>
      <c r="F234">
        <v>39</v>
      </c>
      <c r="G234">
        <v>99.52</v>
      </c>
      <c r="H234">
        <v>3881.28</v>
      </c>
      <c r="I234">
        <v>1</v>
      </c>
      <c r="J234" t="s">
        <v>457</v>
      </c>
      <c r="K234">
        <v>157</v>
      </c>
      <c r="L234" t="s">
        <v>458</v>
      </c>
      <c r="M234" t="s">
        <v>273</v>
      </c>
      <c r="N234" t="s">
        <v>274</v>
      </c>
      <c r="O234" t="s">
        <v>148</v>
      </c>
      <c r="P234" t="s">
        <v>36</v>
      </c>
      <c r="Q234" t="s">
        <v>55</v>
      </c>
      <c r="R234" t="s">
        <v>275</v>
      </c>
      <c r="S234" t="s">
        <v>45</v>
      </c>
      <c r="T234" t="str">
        <f>_xlfn.CONCAT(sales_data_sample[[#This Row],[CONTACTLASTNAME]]," ",sales_data_sample[[#This Row],[CONTACTFIRSTNAME]])</f>
        <v>Brown Ann</v>
      </c>
    </row>
    <row r="235" spans="1:20" x14ac:dyDescent="0.3">
      <c r="A235">
        <v>10386</v>
      </c>
      <c r="B235" t="s">
        <v>151</v>
      </c>
      <c r="C235" s="1">
        <v>38412</v>
      </c>
      <c r="D235" t="s">
        <v>140</v>
      </c>
      <c r="E235" t="s">
        <v>334</v>
      </c>
      <c r="F235">
        <v>25</v>
      </c>
      <c r="G235">
        <v>54.57</v>
      </c>
      <c r="H235">
        <v>1364.25</v>
      </c>
      <c r="I235">
        <v>7</v>
      </c>
      <c r="J235" t="s">
        <v>457</v>
      </c>
      <c r="K235">
        <v>157</v>
      </c>
      <c r="L235" t="s">
        <v>458</v>
      </c>
      <c r="M235" t="s">
        <v>153</v>
      </c>
      <c r="N235" t="s">
        <v>154</v>
      </c>
      <c r="O235" t="s">
        <v>155</v>
      </c>
      <c r="P235" t="s">
        <v>36</v>
      </c>
      <c r="Q235" t="s">
        <v>156</v>
      </c>
      <c r="R235" t="s">
        <v>157</v>
      </c>
      <c r="S235" t="s">
        <v>30</v>
      </c>
      <c r="T235" t="str">
        <f>_xlfn.CONCAT(sales_data_sample[[#This Row],[CONTACTLASTNAME]]," ",sales_data_sample[[#This Row],[CONTACTFIRSTNAME]])</f>
        <v>Freyre Diego</v>
      </c>
    </row>
    <row r="236" spans="1:20" x14ac:dyDescent="0.3">
      <c r="A236">
        <v>10398</v>
      </c>
      <c r="B236" t="s">
        <v>31</v>
      </c>
      <c r="C236" s="1">
        <v>38441</v>
      </c>
      <c r="D236" t="s">
        <v>140</v>
      </c>
      <c r="E236" t="s">
        <v>21</v>
      </c>
      <c r="F236">
        <v>33</v>
      </c>
      <c r="G236">
        <v>100</v>
      </c>
      <c r="H236">
        <v>4215.09</v>
      </c>
      <c r="I236">
        <v>11</v>
      </c>
      <c r="J236" t="s">
        <v>457</v>
      </c>
      <c r="K236">
        <v>157</v>
      </c>
      <c r="L236" t="s">
        <v>458</v>
      </c>
      <c r="M236" t="s">
        <v>33</v>
      </c>
      <c r="N236" t="s">
        <v>34</v>
      </c>
      <c r="O236" t="s">
        <v>35</v>
      </c>
      <c r="P236" t="s">
        <v>36</v>
      </c>
      <c r="Q236" t="s">
        <v>37</v>
      </c>
      <c r="R236" t="s">
        <v>38</v>
      </c>
      <c r="S236" t="s">
        <v>45</v>
      </c>
      <c r="T236" t="str">
        <f>_xlfn.CONCAT(sales_data_sample[[#This Row],[CONTACTLASTNAME]]," ",sales_data_sample[[#This Row],[CONTACTFIRSTNAME]])</f>
        <v>Henriot Paul</v>
      </c>
    </row>
    <row r="237" spans="1:20" x14ac:dyDescent="0.3">
      <c r="A237">
        <v>10416</v>
      </c>
      <c r="B237" t="s">
        <v>368</v>
      </c>
      <c r="C237" s="1">
        <v>38482</v>
      </c>
      <c r="D237" t="s">
        <v>32</v>
      </c>
      <c r="E237" t="s">
        <v>21</v>
      </c>
      <c r="F237">
        <v>24</v>
      </c>
      <c r="G237">
        <v>100</v>
      </c>
      <c r="H237">
        <v>4352.16</v>
      </c>
      <c r="I237">
        <v>14</v>
      </c>
      <c r="J237" t="s">
        <v>457</v>
      </c>
      <c r="K237">
        <v>157</v>
      </c>
      <c r="L237" t="s">
        <v>458</v>
      </c>
      <c r="M237" t="s">
        <v>369</v>
      </c>
      <c r="N237" t="s">
        <v>370</v>
      </c>
      <c r="O237" t="s">
        <v>217</v>
      </c>
      <c r="P237" t="s">
        <v>36</v>
      </c>
      <c r="Q237" t="s">
        <v>371</v>
      </c>
      <c r="R237" t="s">
        <v>372</v>
      </c>
      <c r="S237" t="s">
        <v>45</v>
      </c>
      <c r="T237" t="str">
        <f>_xlfn.CONCAT(sales_data_sample[[#This Row],[CONTACTLASTNAME]]," ",sales_data_sample[[#This Row],[CONTACTFIRSTNAME]])</f>
        <v>Moroni Maurizio</v>
      </c>
    </row>
    <row r="238" spans="1:20" x14ac:dyDescent="0.3">
      <c r="A238">
        <v>10100</v>
      </c>
      <c r="B238" t="s">
        <v>232</v>
      </c>
      <c r="C238" s="1">
        <v>37627</v>
      </c>
      <c r="D238" t="s">
        <v>77</v>
      </c>
      <c r="E238" t="s">
        <v>21</v>
      </c>
      <c r="F238">
        <v>30</v>
      </c>
      <c r="G238">
        <v>100</v>
      </c>
      <c r="H238">
        <v>5151</v>
      </c>
      <c r="I238">
        <v>3</v>
      </c>
      <c r="J238" t="s">
        <v>444</v>
      </c>
      <c r="K238">
        <v>170</v>
      </c>
      <c r="L238" t="s">
        <v>472</v>
      </c>
      <c r="M238" t="s">
        <v>233</v>
      </c>
      <c r="N238" t="s">
        <v>234</v>
      </c>
      <c r="O238" t="s">
        <v>26</v>
      </c>
      <c r="P238" t="s">
        <v>27</v>
      </c>
      <c r="Q238" t="s">
        <v>50</v>
      </c>
      <c r="R238" t="s">
        <v>231</v>
      </c>
      <c r="S238" t="s">
        <v>45</v>
      </c>
      <c r="T238" t="str">
        <f>_xlfn.CONCAT(sales_data_sample[[#This Row],[CONTACTLASTNAME]]," ",sales_data_sample[[#This Row],[CONTACTFIRSTNAME]])</f>
        <v>Young Valarie</v>
      </c>
    </row>
    <row r="239" spans="1:20" x14ac:dyDescent="0.3">
      <c r="A239">
        <v>10124</v>
      </c>
      <c r="B239" t="s">
        <v>436</v>
      </c>
      <c r="C239" s="1">
        <v>37762</v>
      </c>
      <c r="D239" t="s">
        <v>32</v>
      </c>
      <c r="E239" t="s">
        <v>21</v>
      </c>
      <c r="F239">
        <v>21</v>
      </c>
      <c r="G239">
        <v>100</v>
      </c>
      <c r="H239">
        <v>2856</v>
      </c>
      <c r="I239">
        <v>6</v>
      </c>
      <c r="J239" t="s">
        <v>444</v>
      </c>
      <c r="K239">
        <v>170</v>
      </c>
      <c r="L239" t="s">
        <v>472</v>
      </c>
      <c r="M239" t="s">
        <v>437</v>
      </c>
      <c r="N239" t="s">
        <v>438</v>
      </c>
      <c r="O239" t="s">
        <v>26</v>
      </c>
      <c r="P239" t="s">
        <v>27</v>
      </c>
      <c r="Q239" t="s">
        <v>100</v>
      </c>
      <c r="R239" t="s">
        <v>326</v>
      </c>
      <c r="S239" t="s">
        <v>30</v>
      </c>
      <c r="T239" t="str">
        <f>_xlfn.CONCAT(sales_data_sample[[#This Row],[CONTACTLASTNAME]]," ",sales_data_sample[[#This Row],[CONTACTFIRSTNAME]])</f>
        <v>King Sue</v>
      </c>
    </row>
    <row r="240" spans="1:20" x14ac:dyDescent="0.3">
      <c r="A240">
        <v>10214</v>
      </c>
      <c r="B240" t="s">
        <v>166</v>
      </c>
      <c r="C240" s="1">
        <v>38012</v>
      </c>
      <c r="D240" t="s">
        <v>77</v>
      </c>
      <c r="E240" t="s">
        <v>21</v>
      </c>
      <c r="F240">
        <v>30</v>
      </c>
      <c r="G240">
        <v>100</v>
      </c>
      <c r="H240">
        <v>5967</v>
      </c>
      <c r="I240">
        <v>7</v>
      </c>
      <c r="J240" t="s">
        <v>444</v>
      </c>
      <c r="K240">
        <v>170</v>
      </c>
      <c r="L240" t="s">
        <v>472</v>
      </c>
      <c r="M240" t="s">
        <v>153</v>
      </c>
      <c r="N240" t="s">
        <v>167</v>
      </c>
      <c r="O240" t="s">
        <v>155</v>
      </c>
      <c r="P240" t="s">
        <v>36</v>
      </c>
      <c r="Q240" t="s">
        <v>168</v>
      </c>
      <c r="R240" t="s">
        <v>169</v>
      </c>
      <c r="S240" t="s">
        <v>45</v>
      </c>
      <c r="T240" t="str">
        <f>_xlfn.CONCAT(sales_data_sample[[#This Row],[CONTACTLASTNAME]]," ",sales_data_sample[[#This Row],[CONTACTFIRSTNAME]])</f>
        <v>Sommer Mart¡n</v>
      </c>
    </row>
    <row r="241" spans="1:20" x14ac:dyDescent="0.3">
      <c r="A241">
        <v>10302</v>
      </c>
      <c r="B241" t="s">
        <v>145</v>
      </c>
      <c r="C241" s="1">
        <v>37900</v>
      </c>
      <c r="D241" t="s">
        <v>53</v>
      </c>
      <c r="E241" t="s">
        <v>21</v>
      </c>
      <c r="F241">
        <v>43</v>
      </c>
      <c r="G241">
        <v>100</v>
      </c>
      <c r="H241">
        <v>7310</v>
      </c>
      <c r="I241">
        <v>1</v>
      </c>
      <c r="J241" t="s">
        <v>444</v>
      </c>
      <c r="K241">
        <v>170</v>
      </c>
      <c r="L241" t="s">
        <v>472</v>
      </c>
      <c r="M241" t="s">
        <v>146</v>
      </c>
      <c r="N241" t="s">
        <v>147</v>
      </c>
      <c r="O241" t="s">
        <v>148</v>
      </c>
      <c r="P241" t="s">
        <v>36</v>
      </c>
      <c r="Q241" t="s">
        <v>149</v>
      </c>
      <c r="R241" t="s">
        <v>150</v>
      </c>
      <c r="S241" t="s">
        <v>133</v>
      </c>
      <c r="T241" t="str">
        <f>_xlfn.CONCAT(sales_data_sample[[#This Row],[CONTACTLASTNAME]]," ",sales_data_sample[[#This Row],[CONTACTFIRSTNAME]])</f>
        <v>Devon Elizabeth</v>
      </c>
    </row>
    <row r="242" spans="1:20" x14ac:dyDescent="0.3">
      <c r="A242">
        <v>10344</v>
      </c>
      <c r="B242" t="s">
        <v>352</v>
      </c>
      <c r="C242" s="1">
        <v>38316</v>
      </c>
      <c r="D242" t="s">
        <v>62</v>
      </c>
      <c r="E242" t="s">
        <v>21</v>
      </c>
      <c r="F242">
        <v>45</v>
      </c>
      <c r="G242">
        <v>100</v>
      </c>
      <c r="H242">
        <v>7650</v>
      </c>
      <c r="I242">
        <v>1</v>
      </c>
      <c r="J242" t="s">
        <v>444</v>
      </c>
      <c r="K242">
        <v>170</v>
      </c>
      <c r="L242" t="s">
        <v>472</v>
      </c>
      <c r="M242" t="s">
        <v>353</v>
      </c>
      <c r="N242" t="s">
        <v>354</v>
      </c>
      <c r="O242" t="s">
        <v>35</v>
      </c>
      <c r="P242" t="s">
        <v>36</v>
      </c>
      <c r="Q242" t="s">
        <v>355</v>
      </c>
      <c r="R242" t="s">
        <v>356</v>
      </c>
      <c r="S242" t="s">
        <v>133</v>
      </c>
      <c r="T242" t="str">
        <f>_xlfn.CONCAT(sales_data_sample[[#This Row],[CONTACTLASTNAME]]," ",sales_data_sample[[#This Row],[CONTACTFIRSTNAME]])</f>
        <v>Lebihan Laurence</v>
      </c>
    </row>
    <row r="243" spans="1:20" x14ac:dyDescent="0.3">
      <c r="A243">
        <v>10379</v>
      </c>
      <c r="B243" t="s">
        <v>151</v>
      </c>
      <c r="C243" s="1">
        <v>38393</v>
      </c>
      <c r="D243" t="s">
        <v>20</v>
      </c>
      <c r="E243" t="s">
        <v>21</v>
      </c>
      <c r="F243">
        <v>39</v>
      </c>
      <c r="G243">
        <v>100</v>
      </c>
      <c r="H243">
        <v>5399.55</v>
      </c>
      <c r="I243">
        <v>2</v>
      </c>
      <c r="J243" t="s">
        <v>444</v>
      </c>
      <c r="K243">
        <v>170</v>
      </c>
      <c r="L243" t="s">
        <v>472</v>
      </c>
      <c r="M243" t="s">
        <v>153</v>
      </c>
      <c r="N243" t="s">
        <v>154</v>
      </c>
      <c r="O243" t="s">
        <v>155</v>
      </c>
      <c r="P243" t="s">
        <v>36</v>
      </c>
      <c r="Q243" t="s">
        <v>156</v>
      </c>
      <c r="R243" t="s">
        <v>157</v>
      </c>
      <c r="S243" t="s">
        <v>45</v>
      </c>
      <c r="T243" t="str">
        <f>_xlfn.CONCAT(sales_data_sample[[#This Row],[CONTACTLASTNAME]]," ",sales_data_sample[[#This Row],[CONTACTFIRSTNAME]])</f>
        <v>Freyre Diego</v>
      </c>
    </row>
    <row r="244" spans="1:20" x14ac:dyDescent="0.3">
      <c r="A244">
        <v>10420</v>
      </c>
      <c r="B244" t="s">
        <v>134</v>
      </c>
      <c r="C244" s="1">
        <v>38501</v>
      </c>
      <c r="D244" t="s">
        <v>32</v>
      </c>
      <c r="E244" t="s">
        <v>249</v>
      </c>
      <c r="F244">
        <v>37</v>
      </c>
      <c r="G244">
        <v>100</v>
      </c>
      <c r="H244">
        <v>5283.6</v>
      </c>
      <c r="I244">
        <v>5</v>
      </c>
      <c r="J244" t="s">
        <v>444</v>
      </c>
      <c r="K244">
        <v>170</v>
      </c>
      <c r="L244" t="s">
        <v>472</v>
      </c>
      <c r="M244" t="s">
        <v>135</v>
      </c>
      <c r="N244" t="s">
        <v>136</v>
      </c>
      <c r="O244" t="s">
        <v>84</v>
      </c>
      <c r="P244" t="s">
        <v>85</v>
      </c>
      <c r="Q244" t="s">
        <v>137</v>
      </c>
      <c r="R244" t="s">
        <v>138</v>
      </c>
      <c r="S244" t="s">
        <v>45</v>
      </c>
      <c r="T244" t="str">
        <f>_xlfn.CONCAT(sales_data_sample[[#This Row],[CONTACTLASTNAME]]," ",sales_data_sample[[#This Row],[CONTACTFIRSTNAME]])</f>
        <v>Huxley Adrian</v>
      </c>
    </row>
    <row r="245" spans="1:20" x14ac:dyDescent="0.3">
      <c r="A245">
        <v>10366</v>
      </c>
      <c r="B245" t="s">
        <v>467</v>
      </c>
      <c r="C245" s="1">
        <v>38362</v>
      </c>
      <c r="D245" t="s">
        <v>77</v>
      </c>
      <c r="E245" t="s">
        <v>21</v>
      </c>
      <c r="F245">
        <v>34</v>
      </c>
      <c r="G245">
        <v>100</v>
      </c>
      <c r="H245">
        <v>4207.84</v>
      </c>
      <c r="I245">
        <v>3</v>
      </c>
      <c r="J245" t="s">
        <v>158</v>
      </c>
      <c r="K245">
        <v>142</v>
      </c>
      <c r="L245" t="s">
        <v>473</v>
      </c>
      <c r="M245" t="s">
        <v>468</v>
      </c>
      <c r="N245" t="s">
        <v>469</v>
      </c>
      <c r="O245" t="s">
        <v>303</v>
      </c>
      <c r="P245" t="s">
        <v>36</v>
      </c>
      <c r="Q245" t="s">
        <v>470</v>
      </c>
      <c r="R245" t="s">
        <v>471</v>
      </c>
      <c r="S245" t="s">
        <v>45</v>
      </c>
      <c r="T245" t="str">
        <f>_xlfn.CONCAT(sales_data_sample[[#This Row],[CONTACTLASTNAME]]," ",sales_data_sample[[#This Row],[CONTACTFIRSTNAME]])</f>
        <v>Cartrain Pascale</v>
      </c>
    </row>
    <row r="246" spans="1:20" x14ac:dyDescent="0.3">
      <c r="A246">
        <v>10303</v>
      </c>
      <c r="B246" t="s">
        <v>421</v>
      </c>
      <c r="C246" s="1">
        <v>38266</v>
      </c>
      <c r="D246" t="s">
        <v>53</v>
      </c>
      <c r="E246" t="s">
        <v>21</v>
      </c>
      <c r="F246">
        <v>46</v>
      </c>
      <c r="G246">
        <v>49.04</v>
      </c>
      <c r="H246">
        <v>2255.84</v>
      </c>
      <c r="I246">
        <v>2</v>
      </c>
      <c r="J246" t="s">
        <v>444</v>
      </c>
      <c r="K246">
        <v>60</v>
      </c>
      <c r="L246" t="s">
        <v>474</v>
      </c>
      <c r="M246" t="s">
        <v>422</v>
      </c>
      <c r="N246" t="s">
        <v>423</v>
      </c>
      <c r="O246" t="s">
        <v>155</v>
      </c>
      <c r="P246" t="s">
        <v>36</v>
      </c>
      <c r="Q246" t="s">
        <v>424</v>
      </c>
      <c r="R246" t="s">
        <v>425</v>
      </c>
      <c r="S246" t="s">
        <v>30</v>
      </c>
      <c r="T246" t="str">
        <f>_xlfn.CONCAT(sales_data_sample[[#This Row],[CONTACTLASTNAME]]," ",sales_data_sample[[#This Row],[CONTACTFIRSTNAME]])</f>
        <v>Roel Jose Pedro</v>
      </c>
    </row>
    <row r="247" spans="1:20" x14ac:dyDescent="0.3">
      <c r="A247">
        <v>10383</v>
      </c>
      <c r="B247" t="s">
        <v>151</v>
      </c>
      <c r="C247" s="1">
        <v>38405</v>
      </c>
      <c r="D247" t="s">
        <v>20</v>
      </c>
      <c r="E247" t="s">
        <v>21</v>
      </c>
      <c r="F247">
        <v>27</v>
      </c>
      <c r="G247">
        <v>100</v>
      </c>
      <c r="H247">
        <v>3843.99</v>
      </c>
      <c r="I247">
        <v>11</v>
      </c>
      <c r="J247" t="s">
        <v>407</v>
      </c>
      <c r="K247">
        <v>122</v>
      </c>
      <c r="L247" t="s">
        <v>475</v>
      </c>
      <c r="M247" t="s">
        <v>153</v>
      </c>
      <c r="N247" t="s">
        <v>154</v>
      </c>
      <c r="O247" t="s">
        <v>155</v>
      </c>
      <c r="P247" t="s">
        <v>36</v>
      </c>
      <c r="Q247" t="s">
        <v>156</v>
      </c>
      <c r="R247" t="s">
        <v>157</v>
      </c>
      <c r="S247" t="s">
        <v>45</v>
      </c>
      <c r="T247" t="str">
        <f>_xlfn.CONCAT(sales_data_sample[[#This Row],[CONTACTLASTNAME]]," ",sales_data_sample[[#This Row],[CONTACTFIRSTNAME]])</f>
        <v>Freyre Diego</v>
      </c>
    </row>
    <row r="248" spans="1:20" x14ac:dyDescent="0.3">
      <c r="A248">
        <v>10101</v>
      </c>
      <c r="B248" t="s">
        <v>376</v>
      </c>
      <c r="C248" s="1">
        <v>37630</v>
      </c>
      <c r="D248" t="s">
        <v>77</v>
      </c>
      <c r="E248" t="s">
        <v>21</v>
      </c>
      <c r="F248">
        <v>25</v>
      </c>
      <c r="G248">
        <v>100</v>
      </c>
      <c r="H248">
        <v>3782</v>
      </c>
      <c r="I248">
        <v>4</v>
      </c>
      <c r="J248" t="s">
        <v>444</v>
      </c>
      <c r="K248">
        <v>127</v>
      </c>
      <c r="L248" t="s">
        <v>476</v>
      </c>
      <c r="M248" t="s">
        <v>377</v>
      </c>
      <c r="N248" t="s">
        <v>378</v>
      </c>
      <c r="O248" t="s">
        <v>360</v>
      </c>
      <c r="P248" t="s">
        <v>36</v>
      </c>
      <c r="Q248" t="s">
        <v>379</v>
      </c>
      <c r="R248" t="s">
        <v>338</v>
      </c>
      <c r="S248" t="s">
        <v>45</v>
      </c>
      <c r="T248" t="str">
        <f>_xlfn.CONCAT(sales_data_sample[[#This Row],[CONTACTLASTNAME]]," ",sales_data_sample[[#This Row],[CONTACTFIRSTNAME]])</f>
        <v>Keitel Roland</v>
      </c>
    </row>
    <row r="249" spans="1:20" x14ac:dyDescent="0.3">
      <c r="A249">
        <v>10243</v>
      </c>
      <c r="B249" t="s">
        <v>339</v>
      </c>
      <c r="C249" s="1">
        <v>38103</v>
      </c>
      <c r="D249" t="s">
        <v>89</v>
      </c>
      <c r="E249" t="s">
        <v>21</v>
      </c>
      <c r="F249">
        <v>47</v>
      </c>
      <c r="G249">
        <v>100</v>
      </c>
      <c r="H249">
        <v>6154.18</v>
      </c>
      <c r="I249">
        <v>2</v>
      </c>
      <c r="J249" t="s">
        <v>444</v>
      </c>
      <c r="K249">
        <v>127</v>
      </c>
      <c r="L249" t="s">
        <v>476</v>
      </c>
      <c r="M249" t="s">
        <v>311</v>
      </c>
      <c r="N249" t="s">
        <v>312</v>
      </c>
      <c r="O249" t="s">
        <v>26</v>
      </c>
      <c r="P249" t="s">
        <v>27</v>
      </c>
      <c r="Q249" t="s">
        <v>340</v>
      </c>
      <c r="R249" t="s">
        <v>231</v>
      </c>
      <c r="S249" t="s">
        <v>45</v>
      </c>
      <c r="T249" t="str">
        <f>_xlfn.CONCAT(sales_data_sample[[#This Row],[CONTACTLASTNAME]]," ",sales_data_sample[[#This Row],[CONTACTFIRSTNAME]])</f>
        <v>Franco Valarie</v>
      </c>
    </row>
    <row r="250" spans="1:20" x14ac:dyDescent="0.3">
      <c r="A250">
        <v>10409</v>
      </c>
      <c r="B250" t="s">
        <v>341</v>
      </c>
      <c r="C250" s="1">
        <v>38465</v>
      </c>
      <c r="D250" t="s">
        <v>89</v>
      </c>
      <c r="E250" t="s">
        <v>21</v>
      </c>
      <c r="F250">
        <v>6</v>
      </c>
      <c r="G250">
        <v>100</v>
      </c>
      <c r="H250">
        <v>785.64</v>
      </c>
      <c r="I250">
        <v>2</v>
      </c>
      <c r="J250" t="s">
        <v>444</v>
      </c>
      <c r="K250">
        <v>127</v>
      </c>
      <c r="L250" t="s">
        <v>476</v>
      </c>
      <c r="M250" t="s">
        <v>171</v>
      </c>
      <c r="N250" t="s">
        <v>342</v>
      </c>
      <c r="O250" t="s">
        <v>171</v>
      </c>
      <c r="P250" t="s">
        <v>85</v>
      </c>
      <c r="Q250" t="s">
        <v>343</v>
      </c>
      <c r="R250" t="s">
        <v>344</v>
      </c>
      <c r="S250" t="s">
        <v>30</v>
      </c>
      <c r="T250" t="str">
        <f>_xlfn.CONCAT(sales_data_sample[[#This Row],[CONTACTLASTNAME]]," ",sales_data_sample[[#This Row],[CONTACTFIRSTNAME]])</f>
        <v>Victorino Wendy</v>
      </c>
    </row>
    <row r="251" spans="1:20" x14ac:dyDescent="0.3">
      <c r="A251">
        <v>10133</v>
      </c>
      <c r="B251" t="s">
        <v>151</v>
      </c>
      <c r="C251" s="1">
        <v>37799</v>
      </c>
      <c r="D251" t="s">
        <v>97</v>
      </c>
      <c r="E251" t="s">
        <v>21</v>
      </c>
      <c r="F251">
        <v>49</v>
      </c>
      <c r="G251">
        <v>69.27</v>
      </c>
      <c r="H251">
        <v>3394.23</v>
      </c>
      <c r="I251">
        <v>3</v>
      </c>
      <c r="J251" t="s">
        <v>457</v>
      </c>
      <c r="K251">
        <v>84</v>
      </c>
      <c r="L251" t="s">
        <v>477</v>
      </c>
      <c r="M251" t="s">
        <v>153</v>
      </c>
      <c r="N251" t="s">
        <v>154</v>
      </c>
      <c r="O251" t="s">
        <v>155</v>
      </c>
      <c r="P251" t="s">
        <v>36</v>
      </c>
      <c r="Q251" t="s">
        <v>156</v>
      </c>
      <c r="R251" t="s">
        <v>157</v>
      </c>
      <c r="S251" t="s">
        <v>45</v>
      </c>
      <c r="T251" t="str">
        <f>_xlfn.CONCAT(sales_data_sample[[#This Row],[CONTACTLASTNAME]]," ",sales_data_sample[[#This Row],[CONTACTFIRSTNAME]])</f>
        <v>Freyre Diego</v>
      </c>
    </row>
    <row r="252" spans="1:20" x14ac:dyDescent="0.3">
      <c r="A252">
        <v>10235</v>
      </c>
      <c r="B252" t="s">
        <v>306</v>
      </c>
      <c r="C252" s="1">
        <v>38079</v>
      </c>
      <c r="D252" t="s">
        <v>89</v>
      </c>
      <c r="E252" t="s">
        <v>21</v>
      </c>
      <c r="F252">
        <v>24</v>
      </c>
      <c r="G252">
        <v>76.03</v>
      </c>
      <c r="H252">
        <v>1824.72</v>
      </c>
      <c r="I252">
        <v>3</v>
      </c>
      <c r="J252" t="s">
        <v>457</v>
      </c>
      <c r="K252">
        <v>84</v>
      </c>
      <c r="L252" t="s">
        <v>477</v>
      </c>
      <c r="M252" t="s">
        <v>307</v>
      </c>
      <c r="N252" t="s">
        <v>308</v>
      </c>
      <c r="O252" t="s">
        <v>196</v>
      </c>
      <c r="P252" t="s">
        <v>27</v>
      </c>
      <c r="Q252" t="s">
        <v>309</v>
      </c>
      <c r="R252" t="s">
        <v>150</v>
      </c>
      <c r="S252" t="s">
        <v>30</v>
      </c>
      <c r="T252" t="str">
        <f>_xlfn.CONCAT(sales_data_sample[[#This Row],[CONTACTLASTNAME]]," ",sales_data_sample[[#This Row],[CONTACTFIRSTNAME]])</f>
        <v>Lincoln Elizabeth</v>
      </c>
    </row>
    <row r="253" spans="1:20" x14ac:dyDescent="0.3">
      <c r="A253">
        <v>10297</v>
      </c>
      <c r="B253" t="s">
        <v>388</v>
      </c>
      <c r="C253" s="1">
        <v>38246</v>
      </c>
      <c r="D253" t="s">
        <v>112</v>
      </c>
      <c r="E253" t="s">
        <v>21</v>
      </c>
      <c r="F253">
        <v>25</v>
      </c>
      <c r="G253">
        <v>82.79</v>
      </c>
      <c r="H253">
        <v>2069.75</v>
      </c>
      <c r="I253">
        <v>4</v>
      </c>
      <c r="J253" t="s">
        <v>457</v>
      </c>
      <c r="K253">
        <v>84</v>
      </c>
      <c r="L253" t="s">
        <v>477</v>
      </c>
      <c r="M253" t="s">
        <v>389</v>
      </c>
      <c r="N253" t="s">
        <v>390</v>
      </c>
      <c r="O253" t="s">
        <v>391</v>
      </c>
      <c r="P253" t="s">
        <v>36</v>
      </c>
      <c r="Q253" t="s">
        <v>392</v>
      </c>
      <c r="R253" t="s">
        <v>393</v>
      </c>
      <c r="S253" t="s">
        <v>30</v>
      </c>
      <c r="T253" t="str">
        <f>_xlfn.CONCAT(sales_data_sample[[#This Row],[CONTACTLASTNAME]]," ",sales_data_sample[[#This Row],[CONTACTFIRSTNAME]])</f>
        <v>Cassidy Dean</v>
      </c>
    </row>
    <row r="254" spans="1:20" x14ac:dyDescent="0.3">
      <c r="A254">
        <v>10353</v>
      </c>
      <c r="B254" t="s">
        <v>459</v>
      </c>
      <c r="C254" s="1">
        <v>38325</v>
      </c>
      <c r="D254" t="s">
        <v>74</v>
      </c>
      <c r="E254" t="s">
        <v>21</v>
      </c>
      <c r="F254">
        <v>27</v>
      </c>
      <c r="G254">
        <v>100</v>
      </c>
      <c r="H254">
        <v>3515.67</v>
      </c>
      <c r="I254">
        <v>1</v>
      </c>
      <c r="J254" t="s">
        <v>457</v>
      </c>
      <c r="K254">
        <v>84</v>
      </c>
      <c r="L254" t="s">
        <v>477</v>
      </c>
      <c r="M254" t="s">
        <v>416</v>
      </c>
      <c r="N254" t="s">
        <v>460</v>
      </c>
      <c r="O254" t="s">
        <v>26</v>
      </c>
      <c r="P254" t="s">
        <v>27</v>
      </c>
      <c r="Q254" t="s">
        <v>461</v>
      </c>
      <c r="R254" t="s">
        <v>462</v>
      </c>
      <c r="S254" t="s">
        <v>45</v>
      </c>
      <c r="T254" t="str">
        <f>_xlfn.CONCAT(sales_data_sample[[#This Row],[CONTACTLASTNAME]]," ",sales_data_sample[[#This Row],[CONTACTFIRSTNAME]])</f>
        <v>Lewis Dan</v>
      </c>
    </row>
    <row r="255" spans="1:20" x14ac:dyDescent="0.3">
      <c r="A255">
        <v>10401</v>
      </c>
      <c r="B255" t="s">
        <v>92</v>
      </c>
      <c r="C255" s="1">
        <v>38445</v>
      </c>
      <c r="D255" t="s">
        <v>89</v>
      </c>
      <c r="E255" t="s">
        <v>327</v>
      </c>
      <c r="F255">
        <v>42</v>
      </c>
      <c r="G255">
        <v>76.03</v>
      </c>
      <c r="H255">
        <v>3193.26</v>
      </c>
      <c r="I255">
        <v>3</v>
      </c>
      <c r="J255" t="s">
        <v>457</v>
      </c>
      <c r="K255">
        <v>84</v>
      </c>
      <c r="L255" t="s">
        <v>477</v>
      </c>
      <c r="M255" t="s">
        <v>93</v>
      </c>
      <c r="N255" t="s">
        <v>94</v>
      </c>
      <c r="O255" t="s">
        <v>26</v>
      </c>
      <c r="P255" t="s">
        <v>27</v>
      </c>
      <c r="Q255" t="s">
        <v>55</v>
      </c>
      <c r="R255" t="s">
        <v>95</v>
      </c>
      <c r="S255" t="s">
        <v>45</v>
      </c>
      <c r="T255" t="str">
        <f>_xlfn.CONCAT(sales_data_sample[[#This Row],[CONTACTLASTNAME]]," ",sales_data_sample[[#This Row],[CONTACTFIRSTNAME]])</f>
        <v>Brown William</v>
      </c>
    </row>
    <row r="256" spans="1:20" x14ac:dyDescent="0.3">
      <c r="A256">
        <v>10255</v>
      </c>
      <c r="B256" t="s">
        <v>430</v>
      </c>
      <c r="C256" s="1">
        <v>38142</v>
      </c>
      <c r="D256" t="s">
        <v>97</v>
      </c>
      <c r="E256" t="s">
        <v>21</v>
      </c>
      <c r="F256">
        <v>24</v>
      </c>
      <c r="G256">
        <v>100</v>
      </c>
      <c r="H256">
        <v>3726</v>
      </c>
      <c r="I256">
        <v>1</v>
      </c>
      <c r="J256" t="s">
        <v>444</v>
      </c>
      <c r="K256">
        <v>168</v>
      </c>
      <c r="L256" t="s">
        <v>478</v>
      </c>
      <c r="M256" t="s">
        <v>431</v>
      </c>
      <c r="N256" t="s">
        <v>432</v>
      </c>
      <c r="O256" t="s">
        <v>35</v>
      </c>
      <c r="P256" t="s">
        <v>36</v>
      </c>
      <c r="Q256" t="s">
        <v>433</v>
      </c>
      <c r="R256" t="s">
        <v>434</v>
      </c>
      <c r="S256" t="s">
        <v>45</v>
      </c>
      <c r="T256" t="str">
        <f>_xlfn.CONCAT(sales_data_sample[[#This Row],[CONTACTLASTNAME]]," ",sales_data_sample[[#This Row],[CONTACTFIRSTNAME]])</f>
        <v>Citeaux Frederique</v>
      </c>
    </row>
    <row r="257" spans="1:20" x14ac:dyDescent="0.3">
      <c r="A257">
        <v>10421</v>
      </c>
      <c r="B257" t="s">
        <v>228</v>
      </c>
      <c r="C257" s="1">
        <v>38501</v>
      </c>
      <c r="D257" t="s">
        <v>32</v>
      </c>
      <c r="E257" t="s">
        <v>249</v>
      </c>
      <c r="F257">
        <v>35</v>
      </c>
      <c r="G257">
        <v>100</v>
      </c>
      <c r="H257">
        <v>5433.75</v>
      </c>
      <c r="I257">
        <v>1</v>
      </c>
      <c r="J257" t="s">
        <v>444</v>
      </c>
      <c r="K257">
        <v>168</v>
      </c>
      <c r="L257" t="s">
        <v>478</v>
      </c>
      <c r="M257" t="s">
        <v>229</v>
      </c>
      <c r="N257" t="s">
        <v>99</v>
      </c>
      <c r="O257" t="s">
        <v>26</v>
      </c>
      <c r="P257" t="s">
        <v>27</v>
      </c>
      <c r="Q257" t="s">
        <v>230</v>
      </c>
      <c r="R257" t="s">
        <v>231</v>
      </c>
      <c r="S257" t="s">
        <v>45</v>
      </c>
      <c r="T257" t="str">
        <f>_xlfn.CONCAT(sales_data_sample[[#This Row],[CONTACTLASTNAME]]," ",sales_data_sample[[#This Row],[CONTACTFIRSTNAME]])</f>
        <v>Nelson Valarie</v>
      </c>
    </row>
    <row r="258" spans="1:20" x14ac:dyDescent="0.3">
      <c r="A258">
        <v>10257</v>
      </c>
      <c r="B258" t="s">
        <v>324</v>
      </c>
      <c r="C258" s="1">
        <v>38152</v>
      </c>
      <c r="D258" t="s">
        <v>97</v>
      </c>
      <c r="E258" t="s">
        <v>21</v>
      </c>
      <c r="F258">
        <v>50</v>
      </c>
      <c r="G258">
        <v>88.14</v>
      </c>
      <c r="H258">
        <v>4407</v>
      </c>
      <c r="I258">
        <v>1</v>
      </c>
      <c r="J258" t="s">
        <v>444</v>
      </c>
      <c r="K258">
        <v>101</v>
      </c>
      <c r="L258" t="s">
        <v>479</v>
      </c>
      <c r="M258" t="s">
        <v>325</v>
      </c>
      <c r="N258" t="s">
        <v>58</v>
      </c>
      <c r="O258" t="s">
        <v>26</v>
      </c>
      <c r="P258" t="s">
        <v>27</v>
      </c>
      <c r="Q258" t="s">
        <v>90</v>
      </c>
      <c r="R258" t="s">
        <v>326</v>
      </c>
      <c r="S258" t="s">
        <v>45</v>
      </c>
      <c r="T258" t="str">
        <f>_xlfn.CONCAT(sales_data_sample[[#This Row],[CONTACTLASTNAME]]," ",sales_data_sample[[#This Row],[CONTACTFIRSTNAME]])</f>
        <v>Frick Sue</v>
      </c>
    </row>
    <row r="259" spans="1:20" x14ac:dyDescent="0.3">
      <c r="A259">
        <v>10423</v>
      </c>
      <c r="B259" t="s">
        <v>300</v>
      </c>
      <c r="C259" s="1">
        <v>38502</v>
      </c>
      <c r="D259" t="s">
        <v>32</v>
      </c>
      <c r="E259" t="s">
        <v>249</v>
      </c>
      <c r="F259">
        <v>10</v>
      </c>
      <c r="G259">
        <v>88.14</v>
      </c>
      <c r="H259">
        <v>881.4</v>
      </c>
      <c r="I259">
        <v>1</v>
      </c>
      <c r="J259" t="s">
        <v>444</v>
      </c>
      <c r="K259">
        <v>101</v>
      </c>
      <c r="L259" t="s">
        <v>479</v>
      </c>
      <c r="M259" t="s">
        <v>301</v>
      </c>
      <c r="N259" t="s">
        <v>302</v>
      </c>
      <c r="O259" t="s">
        <v>303</v>
      </c>
      <c r="P259" t="s">
        <v>36</v>
      </c>
      <c r="Q259" t="s">
        <v>304</v>
      </c>
      <c r="R259" t="s">
        <v>305</v>
      </c>
      <c r="S259" t="s">
        <v>30</v>
      </c>
      <c r="T259" t="str">
        <f>_xlfn.CONCAT(sales_data_sample[[#This Row],[CONTACTLASTNAME]]," ",sales_data_sample[[#This Row],[CONTACTFIRSTNAME]])</f>
        <v>Dewey Catherine</v>
      </c>
    </row>
    <row r="260" spans="1:20" x14ac:dyDescent="0.3">
      <c r="A260">
        <v>10269</v>
      </c>
      <c r="B260" t="s">
        <v>127</v>
      </c>
      <c r="C260" s="1">
        <v>38184</v>
      </c>
      <c r="D260" t="s">
        <v>40</v>
      </c>
      <c r="E260" t="s">
        <v>21</v>
      </c>
      <c r="F260">
        <v>32</v>
      </c>
      <c r="G260">
        <v>63.08</v>
      </c>
      <c r="H260">
        <v>2018.56</v>
      </c>
      <c r="I260">
        <v>1</v>
      </c>
      <c r="J260" t="s">
        <v>444</v>
      </c>
      <c r="K260">
        <v>62</v>
      </c>
      <c r="L260" t="s">
        <v>480</v>
      </c>
      <c r="M260" t="s">
        <v>128</v>
      </c>
      <c r="N260" t="s">
        <v>129</v>
      </c>
      <c r="O260" t="s">
        <v>130</v>
      </c>
      <c r="P260" t="s">
        <v>36</v>
      </c>
      <c r="Q260" t="s">
        <v>131</v>
      </c>
      <c r="R260" t="s">
        <v>132</v>
      </c>
      <c r="S260" t="s">
        <v>30</v>
      </c>
      <c r="T260" t="str">
        <f>_xlfn.CONCAT(sales_data_sample[[#This Row],[CONTACTLASTNAME]]," ",sales_data_sample[[#This Row],[CONTACTFIRSTNAME]])</f>
        <v>Pipps Georg</v>
      </c>
    </row>
    <row r="261" spans="1:20" x14ac:dyDescent="0.3">
      <c r="A261">
        <v>10392</v>
      </c>
      <c r="B261" t="s">
        <v>333</v>
      </c>
      <c r="C261" s="1">
        <v>38421</v>
      </c>
      <c r="D261" t="s">
        <v>140</v>
      </c>
      <c r="E261" t="s">
        <v>21</v>
      </c>
      <c r="F261">
        <v>37</v>
      </c>
      <c r="G261">
        <v>59.96</v>
      </c>
      <c r="H261">
        <v>2218.52</v>
      </c>
      <c r="I261">
        <v>3</v>
      </c>
      <c r="J261" t="s">
        <v>444</v>
      </c>
      <c r="K261">
        <v>62</v>
      </c>
      <c r="L261" t="s">
        <v>480</v>
      </c>
      <c r="M261" t="s">
        <v>335</v>
      </c>
      <c r="N261" t="s">
        <v>336</v>
      </c>
      <c r="O261" t="s">
        <v>130</v>
      </c>
      <c r="P261" t="s">
        <v>36</v>
      </c>
      <c r="Q261" t="s">
        <v>337</v>
      </c>
      <c r="R261" t="s">
        <v>338</v>
      </c>
      <c r="S261" t="s">
        <v>30</v>
      </c>
      <c r="T261" t="str">
        <f>_xlfn.CONCAT(sales_data_sample[[#This Row],[CONTACTLASTNAME]]," ",sales_data_sample[[#This Row],[CONTACTFIRSTNAME]])</f>
        <v>Mendel Roland</v>
      </c>
    </row>
    <row r="262" spans="1:20" x14ac:dyDescent="0.3">
      <c r="A262">
        <v>10130</v>
      </c>
      <c r="B262" t="s">
        <v>481</v>
      </c>
      <c r="C262" s="1">
        <v>37788</v>
      </c>
      <c r="D262" t="s">
        <v>97</v>
      </c>
      <c r="E262" t="s">
        <v>21</v>
      </c>
      <c r="F262">
        <v>40</v>
      </c>
      <c r="G262">
        <v>96.34</v>
      </c>
      <c r="H262">
        <v>3853.6</v>
      </c>
      <c r="I262">
        <v>2</v>
      </c>
      <c r="J262" t="s">
        <v>482</v>
      </c>
      <c r="K262">
        <v>86</v>
      </c>
      <c r="L262" t="s">
        <v>483</v>
      </c>
      <c r="M262" t="s">
        <v>236</v>
      </c>
      <c r="N262" t="s">
        <v>237</v>
      </c>
      <c r="O262" t="s">
        <v>26</v>
      </c>
      <c r="P262" t="s">
        <v>27</v>
      </c>
      <c r="Q262" t="s">
        <v>428</v>
      </c>
      <c r="R262" t="s">
        <v>208</v>
      </c>
      <c r="S262" t="s">
        <v>45</v>
      </c>
      <c r="T262" t="str">
        <f>_xlfn.CONCAT(sales_data_sample[[#This Row],[CONTACTLASTNAME]]," ",sales_data_sample[[#This Row],[CONTACTFIRSTNAME]])</f>
        <v>Taylor Leslie</v>
      </c>
    </row>
    <row r="263" spans="1:20" x14ac:dyDescent="0.3">
      <c r="A263">
        <v>10128</v>
      </c>
      <c r="B263" t="s">
        <v>151</v>
      </c>
      <c r="C263" s="1">
        <v>37778</v>
      </c>
      <c r="D263" t="s">
        <v>97</v>
      </c>
      <c r="E263" t="s">
        <v>21</v>
      </c>
      <c r="F263">
        <v>41</v>
      </c>
      <c r="G263">
        <v>100</v>
      </c>
      <c r="H263">
        <v>5544.02</v>
      </c>
      <c r="I263">
        <v>2</v>
      </c>
      <c r="J263" t="s">
        <v>444</v>
      </c>
      <c r="K263">
        <v>136</v>
      </c>
      <c r="L263" t="s">
        <v>484</v>
      </c>
      <c r="M263" t="s">
        <v>153</v>
      </c>
      <c r="N263" t="s">
        <v>154</v>
      </c>
      <c r="O263" t="s">
        <v>155</v>
      </c>
      <c r="P263" t="s">
        <v>36</v>
      </c>
      <c r="Q263" t="s">
        <v>156</v>
      </c>
      <c r="R263" t="s">
        <v>157</v>
      </c>
      <c r="S263" t="s">
        <v>45</v>
      </c>
      <c r="T263" t="str">
        <f>_xlfn.CONCAT(sales_data_sample[[#This Row],[CONTACTLASTNAME]]," ",sales_data_sample[[#This Row],[CONTACTFIRSTNAME]])</f>
        <v>Freyre Diego</v>
      </c>
    </row>
    <row r="264" spans="1:20" x14ac:dyDescent="0.3">
      <c r="A264">
        <v>10166</v>
      </c>
      <c r="B264" t="s">
        <v>139</v>
      </c>
      <c r="C264" s="1">
        <v>37915</v>
      </c>
      <c r="D264" t="s">
        <v>53</v>
      </c>
      <c r="E264" t="s">
        <v>21</v>
      </c>
      <c r="F264">
        <v>43</v>
      </c>
      <c r="G264">
        <v>100</v>
      </c>
      <c r="H264">
        <v>6930.74</v>
      </c>
      <c r="I264">
        <v>2</v>
      </c>
      <c r="J264" t="s">
        <v>444</v>
      </c>
      <c r="K264">
        <v>136</v>
      </c>
      <c r="L264" t="s">
        <v>484</v>
      </c>
      <c r="M264" t="s">
        <v>141</v>
      </c>
      <c r="N264" t="s">
        <v>142</v>
      </c>
      <c r="O264" t="s">
        <v>26</v>
      </c>
      <c r="P264" t="s">
        <v>27</v>
      </c>
      <c r="Q264" t="s">
        <v>143</v>
      </c>
      <c r="R264" t="s">
        <v>144</v>
      </c>
      <c r="S264" t="s">
        <v>45</v>
      </c>
      <c r="T264" t="str">
        <f>_xlfn.CONCAT(sales_data_sample[[#This Row],[CONTACTLASTNAME]]," ",sales_data_sample[[#This Row],[CONTACTFIRSTNAME]])</f>
        <v>Benitez Violeta</v>
      </c>
    </row>
    <row r="265" spans="1:20" x14ac:dyDescent="0.3">
      <c r="A265">
        <v>10177</v>
      </c>
      <c r="B265" t="s">
        <v>394</v>
      </c>
      <c r="C265" s="1">
        <v>37932</v>
      </c>
      <c r="D265" t="s">
        <v>62</v>
      </c>
      <c r="E265" t="s">
        <v>21</v>
      </c>
      <c r="F265">
        <v>23</v>
      </c>
      <c r="G265">
        <v>100</v>
      </c>
      <c r="H265">
        <v>3675.63</v>
      </c>
      <c r="I265">
        <v>9</v>
      </c>
      <c r="J265" t="s">
        <v>444</v>
      </c>
      <c r="K265">
        <v>136</v>
      </c>
      <c r="L265" t="s">
        <v>484</v>
      </c>
      <c r="M265" t="s">
        <v>153</v>
      </c>
      <c r="N265" t="s">
        <v>167</v>
      </c>
      <c r="O265" t="s">
        <v>155</v>
      </c>
      <c r="P265" t="s">
        <v>36</v>
      </c>
      <c r="Q265" t="s">
        <v>395</v>
      </c>
      <c r="R265" t="s">
        <v>396</v>
      </c>
      <c r="S265" t="s">
        <v>45</v>
      </c>
      <c r="T265" t="str">
        <f>_xlfn.CONCAT(sales_data_sample[[#This Row],[CONTACTLASTNAME]]," ",sales_data_sample[[#This Row],[CONTACTFIRSTNAME]])</f>
        <v>Fernandez Jesus</v>
      </c>
    </row>
    <row r="266" spans="1:20" x14ac:dyDescent="0.3">
      <c r="A266">
        <v>10221</v>
      </c>
      <c r="B266" t="s">
        <v>300</v>
      </c>
      <c r="C266" s="1">
        <v>38035</v>
      </c>
      <c r="D266" t="s">
        <v>20</v>
      </c>
      <c r="E266" t="s">
        <v>21</v>
      </c>
      <c r="F266">
        <v>33</v>
      </c>
      <c r="G266">
        <v>100</v>
      </c>
      <c r="H266">
        <v>4417.38</v>
      </c>
      <c r="I266">
        <v>3</v>
      </c>
      <c r="J266" t="s">
        <v>444</v>
      </c>
      <c r="K266">
        <v>136</v>
      </c>
      <c r="L266" t="s">
        <v>484</v>
      </c>
      <c r="M266" t="s">
        <v>301</v>
      </c>
      <c r="N266" t="s">
        <v>302</v>
      </c>
      <c r="O266" t="s">
        <v>303</v>
      </c>
      <c r="P266" t="s">
        <v>36</v>
      </c>
      <c r="Q266" t="s">
        <v>304</v>
      </c>
      <c r="R266" t="s">
        <v>305</v>
      </c>
      <c r="S266" t="s">
        <v>45</v>
      </c>
      <c r="T266" t="str">
        <f>_xlfn.CONCAT(sales_data_sample[[#This Row],[CONTACTLASTNAME]]," ",sales_data_sample[[#This Row],[CONTACTFIRSTNAME]])</f>
        <v>Dewey Catherine</v>
      </c>
    </row>
    <row r="267" spans="1:20" x14ac:dyDescent="0.3">
      <c r="A267">
        <v>10232</v>
      </c>
      <c r="B267" t="s">
        <v>314</v>
      </c>
      <c r="C267" s="1">
        <v>38066</v>
      </c>
      <c r="D267" t="s">
        <v>140</v>
      </c>
      <c r="E267" t="s">
        <v>21</v>
      </c>
      <c r="F267">
        <v>22</v>
      </c>
      <c r="G267">
        <v>100</v>
      </c>
      <c r="H267">
        <v>3606.02</v>
      </c>
      <c r="I267">
        <v>6</v>
      </c>
      <c r="J267" t="s">
        <v>444</v>
      </c>
      <c r="K267">
        <v>136</v>
      </c>
      <c r="L267" t="s">
        <v>484</v>
      </c>
      <c r="M267" t="s">
        <v>315</v>
      </c>
      <c r="N267" t="s">
        <v>316</v>
      </c>
      <c r="O267" t="s">
        <v>148</v>
      </c>
      <c r="P267" t="s">
        <v>36</v>
      </c>
      <c r="Q267" t="s">
        <v>317</v>
      </c>
      <c r="R267" t="s">
        <v>318</v>
      </c>
      <c r="S267" t="s">
        <v>45</v>
      </c>
      <c r="T267" t="str">
        <f>_xlfn.CONCAT(sales_data_sample[[#This Row],[CONTACTLASTNAME]]," ",sales_data_sample[[#This Row],[CONTACTFIRSTNAME]])</f>
        <v>Bennett Helen</v>
      </c>
    </row>
    <row r="268" spans="1:20" x14ac:dyDescent="0.3">
      <c r="A268">
        <v>10394</v>
      </c>
      <c r="B268" t="s">
        <v>151</v>
      </c>
      <c r="C268" s="1">
        <v>38426</v>
      </c>
      <c r="D268" t="s">
        <v>140</v>
      </c>
      <c r="E268" t="s">
        <v>21</v>
      </c>
      <c r="F268">
        <v>22</v>
      </c>
      <c r="G268">
        <v>100</v>
      </c>
      <c r="H268">
        <v>3353.02</v>
      </c>
      <c r="I268">
        <v>5</v>
      </c>
      <c r="J268" t="s">
        <v>158</v>
      </c>
      <c r="K268">
        <v>169</v>
      </c>
      <c r="L268" t="s">
        <v>485</v>
      </c>
      <c r="M268" t="s">
        <v>153</v>
      </c>
      <c r="N268" t="s">
        <v>154</v>
      </c>
      <c r="O268" t="s">
        <v>155</v>
      </c>
      <c r="P268" t="s">
        <v>36</v>
      </c>
      <c r="Q268" t="s">
        <v>156</v>
      </c>
      <c r="R268" t="s">
        <v>157</v>
      </c>
      <c r="S268" t="s">
        <v>45</v>
      </c>
      <c r="T268" t="str">
        <f>_xlfn.CONCAT(sales_data_sample[[#This Row],[CONTACTLASTNAME]]," ",sales_data_sample[[#This Row],[CONTACTFIRSTNAME]])</f>
        <v>Freyre Diego</v>
      </c>
    </row>
    <row r="269" spans="1:20" x14ac:dyDescent="0.3">
      <c r="A269">
        <v>10326</v>
      </c>
      <c r="B269" t="s">
        <v>160</v>
      </c>
      <c r="C269" s="1">
        <v>38300</v>
      </c>
      <c r="D269" t="s">
        <v>62</v>
      </c>
      <c r="E269" t="s">
        <v>21</v>
      </c>
      <c r="F269">
        <v>32</v>
      </c>
      <c r="G269">
        <v>100</v>
      </c>
      <c r="H269">
        <v>3807.68</v>
      </c>
      <c r="I269">
        <v>6</v>
      </c>
      <c r="J269" t="s">
        <v>486</v>
      </c>
      <c r="K269">
        <v>100</v>
      </c>
      <c r="L269" t="s">
        <v>487</v>
      </c>
      <c r="M269" t="s">
        <v>161</v>
      </c>
      <c r="N269" t="s">
        <v>162</v>
      </c>
      <c r="O269" t="s">
        <v>163</v>
      </c>
      <c r="P269" t="s">
        <v>36</v>
      </c>
      <c r="Q269" t="s">
        <v>164</v>
      </c>
      <c r="R269" t="s">
        <v>165</v>
      </c>
      <c r="S269" t="s">
        <v>45</v>
      </c>
      <c r="T269" t="str">
        <f>_xlfn.CONCAT(sales_data_sample[[#This Row],[CONTACTLASTNAME]]," ",sales_data_sample[[#This Row],[CONTACTFIRSTNAME]])</f>
        <v>Berglund Christina</v>
      </c>
    </row>
    <row r="270" spans="1:20" x14ac:dyDescent="0.3">
      <c r="A270">
        <v>10252</v>
      </c>
      <c r="B270" t="s">
        <v>76</v>
      </c>
      <c r="C270" s="1">
        <v>38133</v>
      </c>
      <c r="D270" t="s">
        <v>32</v>
      </c>
      <c r="E270" t="s">
        <v>21</v>
      </c>
      <c r="F270">
        <v>20</v>
      </c>
      <c r="G270">
        <v>76.39</v>
      </c>
      <c r="H270">
        <v>1527.8</v>
      </c>
      <c r="I270">
        <v>2</v>
      </c>
      <c r="J270" t="s">
        <v>158</v>
      </c>
      <c r="K270">
        <v>80</v>
      </c>
      <c r="L270" t="s">
        <v>488</v>
      </c>
      <c r="M270" t="s">
        <v>41</v>
      </c>
      <c r="N270" t="s">
        <v>78</v>
      </c>
      <c r="O270" t="s">
        <v>35</v>
      </c>
      <c r="P270" t="s">
        <v>36</v>
      </c>
      <c r="Q270" t="s">
        <v>79</v>
      </c>
      <c r="R270" t="s">
        <v>80</v>
      </c>
      <c r="S270" t="s">
        <v>30</v>
      </c>
      <c r="T270" t="str">
        <f>_xlfn.CONCAT(sales_data_sample[[#This Row],[CONTACTLASTNAME]]," ",sales_data_sample[[#This Row],[CONTACTFIRSTNAME]])</f>
        <v>Perrier Dominique</v>
      </c>
    </row>
    <row r="271" spans="1:20" x14ac:dyDescent="0.3">
      <c r="A271">
        <v>10265</v>
      </c>
      <c r="B271" t="s">
        <v>451</v>
      </c>
      <c r="C271" s="1">
        <v>38170</v>
      </c>
      <c r="D271" t="s">
        <v>40</v>
      </c>
      <c r="E271" t="s">
        <v>21</v>
      </c>
      <c r="F271">
        <v>45</v>
      </c>
      <c r="G271">
        <v>86.84</v>
      </c>
      <c r="H271">
        <v>3907.8</v>
      </c>
      <c r="I271">
        <v>2</v>
      </c>
      <c r="J271" t="s">
        <v>158</v>
      </c>
      <c r="K271">
        <v>80</v>
      </c>
      <c r="L271" t="s">
        <v>488</v>
      </c>
      <c r="M271" t="s">
        <v>452</v>
      </c>
      <c r="N271" t="s">
        <v>453</v>
      </c>
      <c r="O271" t="s">
        <v>84</v>
      </c>
      <c r="P271" t="s">
        <v>85</v>
      </c>
      <c r="Q271" t="s">
        <v>454</v>
      </c>
      <c r="R271" t="s">
        <v>455</v>
      </c>
      <c r="S271" t="s">
        <v>45</v>
      </c>
      <c r="T271" t="str">
        <f>_xlfn.CONCAT(sales_data_sample[[#This Row],[CONTACTLASTNAME]]," ",sales_data_sample[[#This Row],[CONTACTFIRSTNAME]])</f>
        <v>Connery Sean</v>
      </c>
    </row>
    <row r="272" spans="1:20" x14ac:dyDescent="0.3">
      <c r="A272">
        <v>10290</v>
      </c>
      <c r="B272" t="s">
        <v>481</v>
      </c>
      <c r="C272" s="1">
        <v>38237</v>
      </c>
      <c r="D272" t="s">
        <v>112</v>
      </c>
      <c r="E272" t="s">
        <v>21</v>
      </c>
      <c r="F272">
        <v>26</v>
      </c>
      <c r="G272">
        <v>96.23</v>
      </c>
      <c r="H272">
        <v>2501.98</v>
      </c>
      <c r="I272">
        <v>2</v>
      </c>
      <c r="J272" t="s">
        <v>444</v>
      </c>
      <c r="K272">
        <v>99</v>
      </c>
      <c r="L272" t="s">
        <v>489</v>
      </c>
      <c r="M272" t="s">
        <v>236</v>
      </c>
      <c r="N272" t="s">
        <v>237</v>
      </c>
      <c r="O272" t="s">
        <v>26</v>
      </c>
      <c r="P272" t="s">
        <v>27</v>
      </c>
      <c r="Q272" t="s">
        <v>428</v>
      </c>
      <c r="R272" t="s">
        <v>208</v>
      </c>
      <c r="S272" t="s">
        <v>30</v>
      </c>
      <c r="T272" t="str">
        <f>_xlfn.CONCAT(sales_data_sample[[#This Row],[CONTACTLASTNAME]]," ",sales_data_sample[[#This Row],[CONTACTFIRSTNAME]])</f>
        <v>Taylor Leslie</v>
      </c>
    </row>
    <row r="273" spans="1:20" x14ac:dyDescent="0.3">
      <c r="A273">
        <v>10323</v>
      </c>
      <c r="B273" t="s">
        <v>376</v>
      </c>
      <c r="C273" s="1">
        <v>38296</v>
      </c>
      <c r="D273" t="s">
        <v>62</v>
      </c>
      <c r="E273" t="s">
        <v>21</v>
      </c>
      <c r="F273">
        <v>33</v>
      </c>
      <c r="G273">
        <v>91.27</v>
      </c>
      <c r="H273">
        <v>3011.91</v>
      </c>
      <c r="I273">
        <v>2</v>
      </c>
      <c r="J273" t="s">
        <v>444</v>
      </c>
      <c r="K273">
        <v>99</v>
      </c>
      <c r="L273" t="s">
        <v>489</v>
      </c>
      <c r="M273" t="s">
        <v>377</v>
      </c>
      <c r="N273" t="s">
        <v>378</v>
      </c>
      <c r="O273" t="s">
        <v>360</v>
      </c>
      <c r="P273" t="s">
        <v>36</v>
      </c>
      <c r="Q273" t="s">
        <v>379</v>
      </c>
      <c r="R273" t="s">
        <v>338</v>
      </c>
      <c r="S273" t="s">
        <v>45</v>
      </c>
      <c r="T273" t="str">
        <f>_xlfn.CONCAT(sales_data_sample[[#This Row],[CONTACTLASTNAME]]," ",sales_data_sample[[#This Row],[CONTACTFIRSTNAME]])</f>
        <v>Keitel Roland</v>
      </c>
    </row>
    <row r="274" spans="1:20" x14ac:dyDescent="0.3">
      <c r="A274">
        <v>10330</v>
      </c>
      <c r="B274" t="s">
        <v>345</v>
      </c>
      <c r="C274" s="1">
        <v>38307</v>
      </c>
      <c r="D274" t="s">
        <v>62</v>
      </c>
      <c r="E274" t="s">
        <v>21</v>
      </c>
      <c r="F274">
        <v>37</v>
      </c>
      <c r="G274">
        <v>100</v>
      </c>
      <c r="H274">
        <v>4405.22</v>
      </c>
      <c r="I274">
        <v>3</v>
      </c>
      <c r="J274" t="s">
        <v>158</v>
      </c>
      <c r="K274">
        <v>146</v>
      </c>
      <c r="L274" t="s">
        <v>490</v>
      </c>
      <c r="M274" t="s">
        <v>347</v>
      </c>
      <c r="N274" t="s">
        <v>348</v>
      </c>
      <c r="O274" t="s">
        <v>349</v>
      </c>
      <c r="P274" t="s">
        <v>173</v>
      </c>
      <c r="Q274" t="s">
        <v>350</v>
      </c>
      <c r="R274" t="s">
        <v>351</v>
      </c>
      <c r="S274" t="s">
        <v>45</v>
      </c>
      <c r="T274" t="str">
        <f>_xlfn.CONCAT(sales_data_sample[[#This Row],[CONTACTLASTNAME]]," ",sales_data_sample[[#This Row],[CONTACTFIRSTNAME]])</f>
        <v>Cruz Arnold</v>
      </c>
    </row>
    <row r="275" spans="1:20" x14ac:dyDescent="0.3">
      <c r="A275">
        <v>10355</v>
      </c>
      <c r="B275" t="s">
        <v>151</v>
      </c>
      <c r="C275" s="1">
        <v>38328</v>
      </c>
      <c r="D275" t="s">
        <v>74</v>
      </c>
      <c r="E275" t="s">
        <v>21</v>
      </c>
      <c r="F275">
        <v>23</v>
      </c>
      <c r="G275">
        <v>100</v>
      </c>
      <c r="H275">
        <v>3177.91</v>
      </c>
      <c r="I275">
        <v>7</v>
      </c>
      <c r="J275" t="s">
        <v>158</v>
      </c>
      <c r="K275">
        <v>146</v>
      </c>
      <c r="L275" t="s">
        <v>490</v>
      </c>
      <c r="M275" t="s">
        <v>153</v>
      </c>
      <c r="N275" t="s">
        <v>154</v>
      </c>
      <c r="O275" t="s">
        <v>155</v>
      </c>
      <c r="P275" t="s">
        <v>36</v>
      </c>
      <c r="Q275" t="s">
        <v>156</v>
      </c>
      <c r="R275" t="s">
        <v>157</v>
      </c>
      <c r="S275" t="s">
        <v>45</v>
      </c>
      <c r="T275" t="str">
        <f>_xlfn.CONCAT(sales_data_sample[[#This Row],[CONTACTLASTNAME]]," ",sales_data_sample[[#This Row],[CONTACTFIRSTNAME]])</f>
        <v>Freyre Diego</v>
      </c>
    </row>
    <row r="276" spans="1:20" x14ac:dyDescent="0.3">
      <c r="A276">
        <v>10146</v>
      </c>
      <c r="B276" t="s">
        <v>459</v>
      </c>
      <c r="C276" s="1">
        <v>37867</v>
      </c>
      <c r="D276" t="s">
        <v>112</v>
      </c>
      <c r="E276" t="s">
        <v>21</v>
      </c>
      <c r="F276">
        <v>47</v>
      </c>
      <c r="G276">
        <v>67.14</v>
      </c>
      <c r="H276">
        <v>3155.58</v>
      </c>
      <c r="I276">
        <v>2</v>
      </c>
      <c r="J276" t="s">
        <v>22</v>
      </c>
      <c r="K276">
        <v>62</v>
      </c>
      <c r="L276" t="s">
        <v>491</v>
      </c>
      <c r="M276" t="s">
        <v>416</v>
      </c>
      <c r="N276" t="s">
        <v>460</v>
      </c>
      <c r="O276" t="s">
        <v>26</v>
      </c>
      <c r="P276" t="s">
        <v>27</v>
      </c>
      <c r="Q276" t="s">
        <v>461</v>
      </c>
      <c r="R276" t="s">
        <v>462</v>
      </c>
      <c r="S276" t="s">
        <v>45</v>
      </c>
      <c r="T276" t="str">
        <f>_xlfn.CONCAT(sales_data_sample[[#This Row],[CONTACTLASTNAME]]," ",sales_data_sample[[#This Row],[CONTACTFIRSTNAME]])</f>
        <v>Lewis Dan</v>
      </c>
    </row>
    <row r="277" spans="1:20" x14ac:dyDescent="0.3">
      <c r="A277">
        <v>10264</v>
      </c>
      <c r="B277" t="s">
        <v>310</v>
      </c>
      <c r="C277" s="1">
        <v>38168</v>
      </c>
      <c r="D277" t="s">
        <v>97</v>
      </c>
      <c r="E277" t="s">
        <v>21</v>
      </c>
      <c r="F277">
        <v>48</v>
      </c>
      <c r="G277">
        <v>54.71</v>
      </c>
      <c r="H277">
        <v>2626.08</v>
      </c>
      <c r="I277">
        <v>3</v>
      </c>
      <c r="J277" t="s">
        <v>22</v>
      </c>
      <c r="K277">
        <v>62</v>
      </c>
      <c r="L277" t="s">
        <v>491</v>
      </c>
      <c r="M277" t="s">
        <v>311</v>
      </c>
      <c r="N277" t="s">
        <v>312</v>
      </c>
      <c r="O277" t="s">
        <v>26</v>
      </c>
      <c r="P277" t="s">
        <v>27</v>
      </c>
      <c r="Q277" t="s">
        <v>313</v>
      </c>
      <c r="R277" t="s">
        <v>60</v>
      </c>
      <c r="S277" t="s">
        <v>30</v>
      </c>
      <c r="T277" t="str">
        <f>_xlfn.CONCAT(sales_data_sample[[#This Row],[CONTACTLASTNAME]]," ",sales_data_sample[[#This Row],[CONTACTFIRSTNAME]])</f>
        <v>Yoshido Juri</v>
      </c>
    </row>
    <row r="278" spans="1:20" x14ac:dyDescent="0.3">
      <c r="A278">
        <v>10286</v>
      </c>
      <c r="B278" t="s">
        <v>328</v>
      </c>
      <c r="C278" s="1">
        <v>38227</v>
      </c>
      <c r="D278" t="s">
        <v>47</v>
      </c>
      <c r="E278" t="s">
        <v>21</v>
      </c>
      <c r="F278">
        <v>38</v>
      </c>
      <c r="G278">
        <v>57.2</v>
      </c>
      <c r="H278">
        <v>2173.6</v>
      </c>
      <c r="I278">
        <v>1</v>
      </c>
      <c r="J278" t="s">
        <v>22</v>
      </c>
      <c r="K278">
        <v>62</v>
      </c>
      <c r="L278" t="s">
        <v>491</v>
      </c>
      <c r="M278" t="s">
        <v>41</v>
      </c>
      <c r="N278" t="s">
        <v>330</v>
      </c>
      <c r="O278" t="s">
        <v>35</v>
      </c>
      <c r="P278" t="s">
        <v>36</v>
      </c>
      <c r="Q278" t="s">
        <v>331</v>
      </c>
      <c r="R278" t="s">
        <v>332</v>
      </c>
      <c r="S278" t="s">
        <v>30</v>
      </c>
      <c r="T278" t="str">
        <f>_xlfn.CONCAT(sales_data_sample[[#This Row],[CONTACTLASTNAME]]," ",sales_data_sample[[#This Row],[CONTACTFIRSTNAME]])</f>
        <v>Bertrand Marie</v>
      </c>
    </row>
    <row r="279" spans="1:20" x14ac:dyDescent="0.3">
      <c r="A279">
        <v>10249</v>
      </c>
      <c r="B279" t="s">
        <v>203</v>
      </c>
      <c r="C279" s="1">
        <v>38115</v>
      </c>
      <c r="D279" t="s">
        <v>32</v>
      </c>
      <c r="E279" t="s">
        <v>21</v>
      </c>
      <c r="F279">
        <v>46</v>
      </c>
      <c r="G279">
        <v>100</v>
      </c>
      <c r="H279">
        <v>5600.5</v>
      </c>
      <c r="I279">
        <v>5</v>
      </c>
      <c r="J279" t="s">
        <v>444</v>
      </c>
      <c r="K279">
        <v>105</v>
      </c>
      <c r="L279" t="s">
        <v>492</v>
      </c>
      <c r="M279" t="s">
        <v>107</v>
      </c>
      <c r="N279" t="s">
        <v>108</v>
      </c>
      <c r="O279" t="s">
        <v>26</v>
      </c>
      <c r="P279" t="s">
        <v>27</v>
      </c>
      <c r="Q279" t="s">
        <v>204</v>
      </c>
      <c r="R279" t="s">
        <v>126</v>
      </c>
      <c r="S279" t="s">
        <v>45</v>
      </c>
      <c r="T279" t="str">
        <f>_xlfn.CONCAT(sales_data_sample[[#This Row],[CONTACTLASTNAME]]," ",sales_data_sample[[#This Row],[CONTACTFIRSTNAME]])</f>
        <v>Tseng Kyung</v>
      </c>
    </row>
    <row r="280" spans="1:20" x14ac:dyDescent="0.3">
      <c r="A280">
        <v>10328</v>
      </c>
      <c r="B280" t="s">
        <v>446</v>
      </c>
      <c r="C280" s="1">
        <v>38303</v>
      </c>
      <c r="D280" t="s">
        <v>62</v>
      </c>
      <c r="E280" t="s">
        <v>21</v>
      </c>
      <c r="F280">
        <v>34</v>
      </c>
      <c r="G280">
        <v>100</v>
      </c>
      <c r="H280">
        <v>3815.48</v>
      </c>
      <c r="I280">
        <v>6</v>
      </c>
      <c r="J280" t="s">
        <v>444</v>
      </c>
      <c r="K280">
        <v>105</v>
      </c>
      <c r="L280" t="s">
        <v>492</v>
      </c>
      <c r="M280" t="s">
        <v>447</v>
      </c>
      <c r="N280" t="s">
        <v>448</v>
      </c>
      <c r="O280" t="s">
        <v>217</v>
      </c>
      <c r="P280" t="s">
        <v>36</v>
      </c>
      <c r="Q280" t="s">
        <v>449</v>
      </c>
      <c r="R280" t="s">
        <v>450</v>
      </c>
      <c r="S280" t="s">
        <v>45</v>
      </c>
      <c r="T280" t="str">
        <f>_xlfn.CONCAT(sales_data_sample[[#This Row],[CONTACTLASTNAME]]," ",sales_data_sample[[#This Row],[CONTACTFIRSTNAME]])</f>
        <v>Rovelli Giovanni</v>
      </c>
    </row>
    <row r="281" spans="1:20" x14ac:dyDescent="0.3">
      <c r="A281">
        <v>10415</v>
      </c>
      <c r="B281" t="s">
        <v>451</v>
      </c>
      <c r="C281" s="1">
        <v>38481</v>
      </c>
      <c r="D281" t="s">
        <v>32</v>
      </c>
      <c r="E281" t="s">
        <v>152</v>
      </c>
      <c r="F281">
        <v>51</v>
      </c>
      <c r="G281">
        <v>100</v>
      </c>
      <c r="H281">
        <v>6209.25</v>
      </c>
      <c r="I281">
        <v>5</v>
      </c>
      <c r="J281" t="s">
        <v>444</v>
      </c>
      <c r="K281">
        <v>105</v>
      </c>
      <c r="L281" t="s">
        <v>492</v>
      </c>
      <c r="M281" t="s">
        <v>452</v>
      </c>
      <c r="N281" t="s">
        <v>453</v>
      </c>
      <c r="O281" t="s">
        <v>84</v>
      </c>
      <c r="P281" t="s">
        <v>85</v>
      </c>
      <c r="Q281" t="s">
        <v>454</v>
      </c>
      <c r="R281" t="s">
        <v>455</v>
      </c>
      <c r="S281" t="s">
        <v>45</v>
      </c>
      <c r="T281" t="str">
        <f>_xlfn.CONCAT(sales_data_sample[[#This Row],[CONTACTLASTNAME]]," ",sales_data_sample[[#This Row],[CONTACTFIRSTNAME]])</f>
        <v>Connery Sean</v>
      </c>
    </row>
    <row r="282" spans="1:20" x14ac:dyDescent="0.3">
      <c r="A282">
        <v>10152</v>
      </c>
      <c r="B282" t="s">
        <v>178</v>
      </c>
      <c r="C282" s="1">
        <v>37889</v>
      </c>
      <c r="D282" t="s">
        <v>112</v>
      </c>
      <c r="E282" t="s">
        <v>21</v>
      </c>
      <c r="F282">
        <v>35</v>
      </c>
      <c r="G282">
        <v>100</v>
      </c>
      <c r="H282">
        <v>4524.1000000000004</v>
      </c>
      <c r="I282">
        <v>1</v>
      </c>
      <c r="J282" t="s">
        <v>158</v>
      </c>
      <c r="K282">
        <v>143</v>
      </c>
      <c r="L282" t="s">
        <v>493</v>
      </c>
      <c r="M282" t="s">
        <v>179</v>
      </c>
      <c r="N282" t="s">
        <v>180</v>
      </c>
      <c r="O282" t="s">
        <v>84</v>
      </c>
      <c r="P282" t="s">
        <v>85</v>
      </c>
      <c r="Q282" t="s">
        <v>181</v>
      </c>
      <c r="R282" t="s">
        <v>182</v>
      </c>
      <c r="S282" t="s">
        <v>45</v>
      </c>
      <c r="T282" t="str">
        <f>_xlfn.CONCAT(sales_data_sample[[#This Row],[CONTACTLASTNAME]]," ",sales_data_sample[[#This Row],[CONTACTFIRSTNAME]])</f>
        <v>Calaghan Tony</v>
      </c>
    </row>
    <row r="283" spans="1:20" x14ac:dyDescent="0.3">
      <c r="A283">
        <v>10213</v>
      </c>
      <c r="B283" t="s">
        <v>285</v>
      </c>
      <c r="C283" s="1">
        <v>38008</v>
      </c>
      <c r="D283" t="s">
        <v>77</v>
      </c>
      <c r="E283" t="s">
        <v>21</v>
      </c>
      <c r="F283">
        <v>38</v>
      </c>
      <c r="G283">
        <v>94.79</v>
      </c>
      <c r="H283">
        <v>3602.02</v>
      </c>
      <c r="I283">
        <v>1</v>
      </c>
      <c r="J283" t="s">
        <v>444</v>
      </c>
      <c r="K283">
        <v>92</v>
      </c>
      <c r="L283" t="s">
        <v>494</v>
      </c>
      <c r="M283" t="s">
        <v>273</v>
      </c>
      <c r="N283" t="s">
        <v>286</v>
      </c>
      <c r="O283" t="s">
        <v>148</v>
      </c>
      <c r="P283" t="s">
        <v>36</v>
      </c>
      <c r="Q283" t="s">
        <v>287</v>
      </c>
      <c r="R283" t="s">
        <v>288</v>
      </c>
      <c r="S283" t="s">
        <v>45</v>
      </c>
      <c r="T283" t="str">
        <f>_xlfn.CONCAT(sales_data_sample[[#This Row],[CONTACTLASTNAME]]," ",sales_data_sample[[#This Row],[CONTACTFIRSTNAME]])</f>
        <v>Hardy Thomas</v>
      </c>
    </row>
    <row r="284" spans="1:20" x14ac:dyDescent="0.3">
      <c r="A284">
        <v>10315</v>
      </c>
      <c r="B284" t="s">
        <v>101</v>
      </c>
      <c r="C284" s="1">
        <v>38289</v>
      </c>
      <c r="D284" t="s">
        <v>53</v>
      </c>
      <c r="E284" t="s">
        <v>21</v>
      </c>
      <c r="F284">
        <v>36</v>
      </c>
      <c r="G284">
        <v>100</v>
      </c>
      <c r="H284">
        <v>3602.16</v>
      </c>
      <c r="I284">
        <v>7</v>
      </c>
      <c r="J284" t="s">
        <v>444</v>
      </c>
      <c r="K284">
        <v>87</v>
      </c>
      <c r="L284" t="s">
        <v>495</v>
      </c>
      <c r="M284" t="s">
        <v>102</v>
      </c>
      <c r="N284" t="s">
        <v>103</v>
      </c>
      <c r="O284" t="s">
        <v>35</v>
      </c>
      <c r="P284" t="s">
        <v>36</v>
      </c>
      <c r="Q284" t="s">
        <v>104</v>
      </c>
      <c r="R284" t="s">
        <v>105</v>
      </c>
      <c r="S284" t="s">
        <v>45</v>
      </c>
      <c r="T284" t="str">
        <f>_xlfn.CONCAT(sales_data_sample[[#This Row],[CONTACTLASTNAME]]," ",sales_data_sample[[#This Row],[CONTACTFIRSTNAME]])</f>
        <v>Labrune Janine</v>
      </c>
    </row>
    <row r="285" spans="1:20" x14ac:dyDescent="0.3">
      <c r="A285">
        <v>10267</v>
      </c>
      <c r="B285" t="s">
        <v>386</v>
      </c>
      <c r="C285" s="1">
        <v>38175</v>
      </c>
      <c r="D285" t="s">
        <v>40</v>
      </c>
      <c r="E285" t="s">
        <v>21</v>
      </c>
      <c r="F285">
        <v>36</v>
      </c>
      <c r="G285">
        <v>75.55</v>
      </c>
      <c r="H285">
        <v>2719.8</v>
      </c>
      <c r="I285">
        <v>1</v>
      </c>
      <c r="J285" t="s">
        <v>158</v>
      </c>
      <c r="K285">
        <v>71</v>
      </c>
      <c r="L285" t="s">
        <v>496</v>
      </c>
      <c r="M285" t="s">
        <v>24</v>
      </c>
      <c r="N285" t="s">
        <v>25</v>
      </c>
      <c r="O285" t="s">
        <v>26</v>
      </c>
      <c r="P285" t="s">
        <v>27</v>
      </c>
      <c r="Q285" t="s">
        <v>50</v>
      </c>
      <c r="R285" t="s">
        <v>387</v>
      </c>
      <c r="S285" t="s">
        <v>30</v>
      </c>
      <c r="T285" t="str">
        <f>_xlfn.CONCAT(sales_data_sample[[#This Row],[CONTACTLASTNAME]]," ",sales_data_sample[[#This Row],[CONTACTFIRSTNAME]])</f>
        <v>Young Jeff</v>
      </c>
    </row>
    <row r="286" spans="1:20" x14ac:dyDescent="0.3">
      <c r="A286">
        <v>10279</v>
      </c>
      <c r="B286" t="s">
        <v>151</v>
      </c>
      <c r="C286" s="1">
        <v>38208</v>
      </c>
      <c r="D286" t="s">
        <v>47</v>
      </c>
      <c r="E286" t="s">
        <v>21</v>
      </c>
      <c r="F286">
        <v>26</v>
      </c>
      <c r="G286">
        <v>60.58</v>
      </c>
      <c r="H286">
        <v>1575.08</v>
      </c>
      <c r="I286">
        <v>1</v>
      </c>
      <c r="J286" t="s">
        <v>158</v>
      </c>
      <c r="K286">
        <v>71</v>
      </c>
      <c r="L286" t="s">
        <v>496</v>
      </c>
      <c r="M286" t="s">
        <v>153</v>
      </c>
      <c r="N286" t="s">
        <v>154</v>
      </c>
      <c r="O286" t="s">
        <v>155</v>
      </c>
      <c r="P286" t="s">
        <v>36</v>
      </c>
      <c r="Q286" t="s">
        <v>156</v>
      </c>
      <c r="R286" t="s">
        <v>157</v>
      </c>
      <c r="S286" t="s">
        <v>30</v>
      </c>
      <c r="T286" t="str">
        <f>_xlfn.CONCAT(sales_data_sample[[#This Row],[CONTACTLASTNAME]]," ",sales_data_sample[[#This Row],[CONTACTFIRSTNAME]])</f>
        <v>Freyre Diego</v>
      </c>
    </row>
    <row r="287" spans="1:20" x14ac:dyDescent="0.3">
      <c r="A287">
        <v>10158</v>
      </c>
      <c r="B287" t="s">
        <v>118</v>
      </c>
      <c r="C287" s="1">
        <v>37904</v>
      </c>
      <c r="D287" t="s">
        <v>53</v>
      </c>
      <c r="E287" t="s">
        <v>21</v>
      </c>
      <c r="F287">
        <v>22</v>
      </c>
      <c r="G287">
        <v>67.03</v>
      </c>
      <c r="H287">
        <v>1474.66</v>
      </c>
      <c r="I287">
        <v>1</v>
      </c>
      <c r="J287" t="s">
        <v>22</v>
      </c>
      <c r="K287">
        <v>76</v>
      </c>
      <c r="L287" t="s">
        <v>497</v>
      </c>
      <c r="M287" t="s">
        <v>119</v>
      </c>
      <c r="N287" t="s">
        <v>120</v>
      </c>
      <c r="O287" t="s">
        <v>70</v>
      </c>
      <c r="P287" t="s">
        <v>36</v>
      </c>
      <c r="Q287" t="s">
        <v>121</v>
      </c>
      <c r="R287" t="s">
        <v>122</v>
      </c>
      <c r="S287" t="s">
        <v>30</v>
      </c>
      <c r="T287" t="str">
        <f>_xlfn.CONCAT(sales_data_sample[[#This Row],[CONTACTLASTNAME]]," ",sales_data_sample[[#This Row],[CONTACTFIRSTNAME]])</f>
        <v>Bergulfsen Jonas</v>
      </c>
    </row>
    <row r="288" spans="1:20" x14ac:dyDescent="0.3">
      <c r="A288">
        <v>10340</v>
      </c>
      <c r="B288" t="s">
        <v>289</v>
      </c>
      <c r="C288" s="1">
        <v>38315</v>
      </c>
      <c r="D288" t="s">
        <v>62</v>
      </c>
      <c r="E288" t="s">
        <v>21</v>
      </c>
      <c r="F288">
        <v>55</v>
      </c>
      <c r="G288">
        <v>79.98</v>
      </c>
      <c r="H288">
        <v>4398.8999999999996</v>
      </c>
      <c r="I288">
        <v>8</v>
      </c>
      <c r="J288" t="s">
        <v>22</v>
      </c>
      <c r="K288">
        <v>76</v>
      </c>
      <c r="L288" t="s">
        <v>497</v>
      </c>
      <c r="M288" t="s">
        <v>290</v>
      </c>
      <c r="N288" t="s">
        <v>291</v>
      </c>
      <c r="O288" t="s">
        <v>155</v>
      </c>
      <c r="P288" t="s">
        <v>36</v>
      </c>
      <c r="Q288" t="s">
        <v>292</v>
      </c>
      <c r="R288" t="s">
        <v>293</v>
      </c>
      <c r="S288" t="s">
        <v>45</v>
      </c>
      <c r="T288" t="str">
        <f>_xlfn.CONCAT(sales_data_sample[[#This Row],[CONTACTLASTNAME]]," ",sales_data_sample[[#This Row],[CONTACTFIRSTNAME]])</f>
        <v>Saavedra Eduardo</v>
      </c>
    </row>
    <row r="289" spans="1:20" x14ac:dyDescent="0.3">
      <c r="A289">
        <v>10345</v>
      </c>
      <c r="B289" t="s">
        <v>258</v>
      </c>
      <c r="C289" s="1">
        <v>38316</v>
      </c>
      <c r="D289" t="s">
        <v>62</v>
      </c>
      <c r="E289" t="s">
        <v>21</v>
      </c>
      <c r="F289">
        <v>43</v>
      </c>
      <c r="G289">
        <v>53.76</v>
      </c>
      <c r="H289">
        <v>2311.6799999999998</v>
      </c>
      <c r="I289">
        <v>1</v>
      </c>
      <c r="J289" t="s">
        <v>444</v>
      </c>
      <c r="K289">
        <v>44</v>
      </c>
      <c r="L289" t="s">
        <v>498</v>
      </c>
      <c r="M289" t="s">
        <v>102</v>
      </c>
      <c r="N289" t="s">
        <v>103</v>
      </c>
      <c r="O289" t="s">
        <v>35</v>
      </c>
      <c r="P289" t="s">
        <v>36</v>
      </c>
      <c r="Q289" t="s">
        <v>259</v>
      </c>
      <c r="R289" t="s">
        <v>260</v>
      </c>
      <c r="S289" t="s">
        <v>30</v>
      </c>
      <c r="T289" t="str">
        <f>_xlfn.CONCAT(sales_data_sample[[#This Row],[CONTACTLASTNAME]]," ",sales_data_sample[[#This Row],[CONTACTFIRSTNAME]])</f>
        <v>Schmitt Carine</v>
      </c>
    </row>
    <row r="290" spans="1:20" x14ac:dyDescent="0.3">
      <c r="A290">
        <v>10190</v>
      </c>
      <c r="B290" t="s">
        <v>151</v>
      </c>
      <c r="C290" s="1">
        <v>37944</v>
      </c>
      <c r="D290" t="s">
        <v>62</v>
      </c>
      <c r="E290" t="s">
        <v>21</v>
      </c>
      <c r="F290">
        <v>42</v>
      </c>
      <c r="G290">
        <v>76.19</v>
      </c>
      <c r="H290">
        <v>3199.98</v>
      </c>
      <c r="I290">
        <v>3</v>
      </c>
      <c r="J290" t="s">
        <v>22</v>
      </c>
      <c r="K290">
        <v>69</v>
      </c>
      <c r="L290" t="s">
        <v>499</v>
      </c>
      <c r="M290" t="s">
        <v>153</v>
      </c>
      <c r="N290" t="s">
        <v>154</v>
      </c>
      <c r="O290" t="s">
        <v>155</v>
      </c>
      <c r="P290" t="s">
        <v>36</v>
      </c>
      <c r="Q290" t="s">
        <v>156</v>
      </c>
      <c r="R290" t="s">
        <v>157</v>
      </c>
      <c r="S290" t="s">
        <v>45</v>
      </c>
      <c r="T290" t="str">
        <f>_xlfn.CONCAT(sales_data_sample[[#This Row],[CONTACTLASTNAME]]," ",sales_data_sample[[#This Row],[CONTACTFIRSTNAME]])</f>
        <v>Freyre Diego</v>
      </c>
    </row>
    <row r="291" spans="1:20" x14ac:dyDescent="0.3">
      <c r="A291">
        <v>10368</v>
      </c>
      <c r="B291" t="s">
        <v>228</v>
      </c>
      <c r="C291" s="1">
        <v>38371</v>
      </c>
      <c r="D291" t="s">
        <v>77</v>
      </c>
      <c r="E291" t="s">
        <v>21</v>
      </c>
      <c r="F291">
        <v>40</v>
      </c>
      <c r="G291">
        <v>100</v>
      </c>
      <c r="H291">
        <v>4107.2</v>
      </c>
      <c r="I291">
        <v>2</v>
      </c>
      <c r="J291" t="s">
        <v>158</v>
      </c>
      <c r="K291">
        <v>90</v>
      </c>
      <c r="L291" t="s">
        <v>500</v>
      </c>
      <c r="M291" t="s">
        <v>229</v>
      </c>
      <c r="N291" t="s">
        <v>99</v>
      </c>
      <c r="O291" t="s">
        <v>26</v>
      </c>
      <c r="P291" t="s">
        <v>27</v>
      </c>
      <c r="Q291" t="s">
        <v>230</v>
      </c>
      <c r="R291" t="s">
        <v>231</v>
      </c>
      <c r="S291" t="s">
        <v>45</v>
      </c>
      <c r="T291" t="str">
        <f>_xlfn.CONCAT(sales_data_sample[[#This Row],[CONTACTLASTNAME]]," ",sales_data_sample[[#This Row],[CONTACTFIRSTNAME]])</f>
        <v>Nelson Valarie</v>
      </c>
    </row>
    <row r="292" spans="1:20" x14ac:dyDescent="0.3">
      <c r="A292">
        <v>10335</v>
      </c>
      <c r="B292" t="s">
        <v>228</v>
      </c>
      <c r="C292" s="1">
        <v>38310</v>
      </c>
      <c r="D292" t="s">
        <v>62</v>
      </c>
      <c r="E292" t="s">
        <v>21</v>
      </c>
      <c r="F292">
        <v>33</v>
      </c>
      <c r="G292">
        <v>37.130000000000003</v>
      </c>
      <c r="H292">
        <v>1225.29</v>
      </c>
      <c r="I292">
        <v>2</v>
      </c>
      <c r="J292" t="s">
        <v>158</v>
      </c>
      <c r="K292">
        <v>35</v>
      </c>
      <c r="L292" t="s">
        <v>501</v>
      </c>
      <c r="M292" t="s">
        <v>229</v>
      </c>
      <c r="N292" t="s">
        <v>99</v>
      </c>
      <c r="O292" t="s">
        <v>26</v>
      </c>
      <c r="P292" t="s">
        <v>27</v>
      </c>
      <c r="Q292" t="s">
        <v>230</v>
      </c>
      <c r="R292" t="s">
        <v>231</v>
      </c>
      <c r="S292" t="s">
        <v>30</v>
      </c>
      <c r="T292" t="str">
        <f>_xlfn.CONCAT(sales_data_sample[[#This Row],[CONTACTLASTNAME]]," ",sales_data_sample[[#This Row],[CONTACTFIRSTNAME]])</f>
        <v>Nelson Valarie</v>
      </c>
    </row>
    <row r="293" spans="1:20" x14ac:dyDescent="0.3">
      <c r="A293">
        <v>10154</v>
      </c>
      <c r="B293" t="s">
        <v>415</v>
      </c>
      <c r="C293" s="1">
        <v>37896</v>
      </c>
      <c r="D293" t="s">
        <v>53</v>
      </c>
      <c r="E293" t="s">
        <v>21</v>
      </c>
      <c r="F293">
        <v>31</v>
      </c>
      <c r="G293">
        <v>91.17</v>
      </c>
      <c r="H293">
        <v>2826.27</v>
      </c>
      <c r="I293">
        <v>2</v>
      </c>
      <c r="J293" t="s">
        <v>444</v>
      </c>
      <c r="K293">
        <v>88</v>
      </c>
      <c r="L293" t="s">
        <v>502</v>
      </c>
      <c r="M293" t="s">
        <v>416</v>
      </c>
      <c r="N293" t="s">
        <v>417</v>
      </c>
      <c r="O293" t="s">
        <v>26</v>
      </c>
      <c r="P293" t="s">
        <v>27</v>
      </c>
      <c r="Q293" t="s">
        <v>50</v>
      </c>
      <c r="R293" t="s">
        <v>208</v>
      </c>
      <c r="S293" t="s">
        <v>30</v>
      </c>
      <c r="T293" t="str">
        <f>_xlfn.CONCAT(sales_data_sample[[#This Row],[CONTACTLASTNAME]]," ",sales_data_sample[[#This Row],[CONTACTFIRSTNAME]])</f>
        <v>Young Leslie</v>
      </c>
    </row>
    <row r="294" spans="1:20" x14ac:dyDescent="0.3">
      <c r="A294">
        <v>10233</v>
      </c>
      <c r="B294" t="s">
        <v>92</v>
      </c>
      <c r="C294" s="1">
        <v>38075</v>
      </c>
      <c r="D294" t="s">
        <v>140</v>
      </c>
      <c r="E294" t="s">
        <v>21</v>
      </c>
      <c r="F294">
        <v>40</v>
      </c>
      <c r="G294">
        <v>94.71</v>
      </c>
      <c r="H294">
        <v>3788.4</v>
      </c>
      <c r="I294">
        <v>2</v>
      </c>
      <c r="J294" t="s">
        <v>444</v>
      </c>
      <c r="K294">
        <v>88</v>
      </c>
      <c r="L294" t="s">
        <v>502</v>
      </c>
      <c r="M294" t="s">
        <v>93</v>
      </c>
      <c r="N294" t="s">
        <v>94</v>
      </c>
      <c r="O294" t="s">
        <v>26</v>
      </c>
      <c r="P294" t="s">
        <v>27</v>
      </c>
      <c r="Q294" t="s">
        <v>55</v>
      </c>
      <c r="R294" t="s">
        <v>95</v>
      </c>
      <c r="S294" t="s">
        <v>45</v>
      </c>
      <c r="T294" t="str">
        <f>_xlfn.CONCAT(sales_data_sample[[#This Row],[CONTACTLASTNAME]]," ",sales_data_sample[[#This Row],[CONTACTFIRSTNAME]])</f>
        <v>Brown William</v>
      </c>
    </row>
    <row r="295" spans="1:20" x14ac:dyDescent="0.3">
      <c r="A295">
        <v>10385</v>
      </c>
      <c r="B295" t="s">
        <v>228</v>
      </c>
      <c r="C295" s="1">
        <v>38411</v>
      </c>
      <c r="D295" t="s">
        <v>20</v>
      </c>
      <c r="E295" t="s">
        <v>21</v>
      </c>
      <c r="F295">
        <v>37</v>
      </c>
      <c r="G295">
        <v>85.54</v>
      </c>
      <c r="H295">
        <v>3164.98</v>
      </c>
      <c r="I295">
        <v>2</v>
      </c>
      <c r="J295" t="s">
        <v>444</v>
      </c>
      <c r="K295">
        <v>83</v>
      </c>
      <c r="L295" t="s">
        <v>503</v>
      </c>
      <c r="M295" t="s">
        <v>229</v>
      </c>
      <c r="N295" t="s">
        <v>99</v>
      </c>
      <c r="O295" t="s">
        <v>26</v>
      </c>
      <c r="P295" t="s">
        <v>27</v>
      </c>
      <c r="Q295" t="s">
        <v>230</v>
      </c>
      <c r="R295" t="s">
        <v>231</v>
      </c>
      <c r="S295" t="s">
        <v>45</v>
      </c>
      <c r="T295" t="str">
        <f>_xlfn.CONCAT(sales_data_sample[[#This Row],[CONTACTLASTNAME]]," ",sales_data_sample[[#This Row],[CONTACTFIRSTNAME]])</f>
        <v>Nelson Valarie</v>
      </c>
    </row>
    <row r="296" spans="1:20" x14ac:dyDescent="0.3">
      <c r="A296">
        <v>10242</v>
      </c>
      <c r="B296" t="s">
        <v>410</v>
      </c>
      <c r="C296" s="1">
        <v>38097</v>
      </c>
      <c r="D296" t="s">
        <v>89</v>
      </c>
      <c r="E296" t="s">
        <v>21</v>
      </c>
      <c r="F296">
        <v>46</v>
      </c>
      <c r="G296">
        <v>36.93</v>
      </c>
      <c r="H296">
        <v>1698.78</v>
      </c>
      <c r="I296">
        <v>1</v>
      </c>
      <c r="J296" t="s">
        <v>444</v>
      </c>
      <c r="K296">
        <v>41</v>
      </c>
      <c r="L296" t="s">
        <v>504</v>
      </c>
      <c r="M296" t="s">
        <v>24</v>
      </c>
      <c r="N296" t="s">
        <v>25</v>
      </c>
      <c r="O296" t="s">
        <v>26</v>
      </c>
      <c r="P296" t="s">
        <v>27</v>
      </c>
      <c r="Q296" t="s">
        <v>411</v>
      </c>
      <c r="R296" t="s">
        <v>412</v>
      </c>
      <c r="S296" t="s">
        <v>30</v>
      </c>
      <c r="T296" t="str">
        <f>_xlfn.CONCAT(sales_data_sample[[#This Row],[CONTACTLASTNAME]]," ",sales_data_sample[[#This Row],[CONTACTFIRSTNAME]])</f>
        <v>Kuo Kee</v>
      </c>
    </row>
    <row r="297" spans="1:20" x14ac:dyDescent="0.3">
      <c r="A297">
        <v>10408</v>
      </c>
      <c r="B297" t="s">
        <v>209</v>
      </c>
      <c r="C297" s="1">
        <v>38464</v>
      </c>
      <c r="D297" t="s">
        <v>89</v>
      </c>
      <c r="E297" t="s">
        <v>21</v>
      </c>
      <c r="F297">
        <v>15</v>
      </c>
      <c r="G297">
        <v>36.93</v>
      </c>
      <c r="H297">
        <v>553.95000000000005</v>
      </c>
      <c r="I297">
        <v>1</v>
      </c>
      <c r="J297" t="s">
        <v>444</v>
      </c>
      <c r="K297">
        <v>41</v>
      </c>
      <c r="L297" t="s">
        <v>504</v>
      </c>
      <c r="M297" t="s">
        <v>210</v>
      </c>
      <c r="N297" t="s">
        <v>211</v>
      </c>
      <c r="O297" t="s">
        <v>173</v>
      </c>
      <c r="P297" t="s">
        <v>173</v>
      </c>
      <c r="Q297" t="s">
        <v>212</v>
      </c>
      <c r="R297" t="s">
        <v>213</v>
      </c>
      <c r="S297" t="s">
        <v>30</v>
      </c>
      <c r="T297" t="str">
        <f>_xlfn.CONCAT(sales_data_sample[[#This Row],[CONTACTLASTNAME]]," ",sales_data_sample[[#This Row],[CONTACTFIRSTNAME]])</f>
        <v>Shimamura Akiko</v>
      </c>
    </row>
    <row r="298" spans="1:20" x14ac:dyDescent="0.3">
      <c r="A298">
        <v>10317</v>
      </c>
      <c r="B298" t="s">
        <v>56</v>
      </c>
      <c r="C298" s="1">
        <v>38293</v>
      </c>
      <c r="D298" t="s">
        <v>62</v>
      </c>
      <c r="E298" t="s">
        <v>21</v>
      </c>
      <c r="F298">
        <v>35</v>
      </c>
      <c r="G298">
        <v>83.32</v>
      </c>
      <c r="H298">
        <v>2916.2</v>
      </c>
      <c r="I298">
        <v>1</v>
      </c>
      <c r="J298" t="s">
        <v>457</v>
      </c>
      <c r="K298">
        <v>72</v>
      </c>
      <c r="L298" t="s">
        <v>505</v>
      </c>
      <c r="M298" t="s">
        <v>57</v>
      </c>
      <c r="N298" t="s">
        <v>58</v>
      </c>
      <c r="O298" t="s">
        <v>26</v>
      </c>
      <c r="P298" t="s">
        <v>27</v>
      </c>
      <c r="Q298" t="s">
        <v>59</v>
      </c>
      <c r="R298" t="s">
        <v>60</v>
      </c>
      <c r="S298" t="s">
        <v>30</v>
      </c>
      <c r="T298" t="str">
        <f>_xlfn.CONCAT(sales_data_sample[[#This Row],[CONTACTLASTNAME]]," ",sales_data_sample[[#This Row],[CONTACTFIRSTNAME]])</f>
        <v>Hirano Juri</v>
      </c>
    </row>
    <row r="299" spans="1:20" x14ac:dyDescent="0.3">
      <c r="A299">
        <v>10387</v>
      </c>
      <c r="B299" t="s">
        <v>170</v>
      </c>
      <c r="C299" s="1">
        <v>38413</v>
      </c>
      <c r="D299" t="s">
        <v>140</v>
      </c>
      <c r="E299" t="s">
        <v>21</v>
      </c>
      <c r="F299">
        <v>44</v>
      </c>
      <c r="G299">
        <v>94.9</v>
      </c>
      <c r="H299">
        <v>4175.6000000000004</v>
      </c>
      <c r="I299">
        <v>1</v>
      </c>
      <c r="J299" t="s">
        <v>22</v>
      </c>
      <c r="K299">
        <v>99</v>
      </c>
      <c r="L299" t="s">
        <v>506</v>
      </c>
      <c r="M299" t="s">
        <v>171</v>
      </c>
      <c r="N299" t="s">
        <v>172</v>
      </c>
      <c r="O299" t="s">
        <v>171</v>
      </c>
      <c r="P299" t="s">
        <v>173</v>
      </c>
      <c r="Q299" t="s">
        <v>174</v>
      </c>
      <c r="R299" t="s">
        <v>175</v>
      </c>
      <c r="S299" t="s">
        <v>45</v>
      </c>
      <c r="T299" t="str">
        <f>_xlfn.CONCAT(sales_data_sample[[#This Row],[CONTACTLASTNAME]]," ",sales_data_sample[[#This Row],[CONTACTFIRSTNAME]])</f>
        <v>Natividad Eric</v>
      </c>
    </row>
    <row r="300" spans="1:20" x14ac:dyDescent="0.3">
      <c r="A300">
        <v>10364</v>
      </c>
      <c r="B300" t="s">
        <v>352</v>
      </c>
      <c r="C300" s="1">
        <v>38358</v>
      </c>
      <c r="D300" t="s">
        <v>77</v>
      </c>
      <c r="E300" t="s">
        <v>21</v>
      </c>
      <c r="F300">
        <v>48</v>
      </c>
      <c r="G300">
        <v>48.28</v>
      </c>
      <c r="H300">
        <v>2317.44</v>
      </c>
      <c r="I300">
        <v>1</v>
      </c>
      <c r="J300" t="s">
        <v>22</v>
      </c>
      <c r="K300">
        <v>40</v>
      </c>
      <c r="L300" t="s">
        <v>507</v>
      </c>
      <c r="M300" t="s">
        <v>353</v>
      </c>
      <c r="N300" t="s">
        <v>354</v>
      </c>
      <c r="O300" t="s">
        <v>35</v>
      </c>
      <c r="P300" t="s">
        <v>36</v>
      </c>
      <c r="Q300" t="s">
        <v>355</v>
      </c>
      <c r="R300" t="s">
        <v>356</v>
      </c>
      <c r="S300" t="s">
        <v>30</v>
      </c>
      <c r="T300" t="str">
        <f>_xlfn.CONCAT(sales_data_sample[[#This Row],[CONTACTLASTNAME]]," ",sales_data_sample[[#This Row],[CONTACTFIRSTNAME]])</f>
        <v>Lebihan Laurence</v>
      </c>
    </row>
    <row r="301" spans="1:20" x14ac:dyDescent="0.3">
      <c r="A301">
        <v>10116</v>
      </c>
      <c r="B301" t="s">
        <v>467</v>
      </c>
      <c r="C301" s="1">
        <v>37722</v>
      </c>
      <c r="D301" t="s">
        <v>89</v>
      </c>
      <c r="E301" t="s">
        <v>21</v>
      </c>
      <c r="F301">
        <v>27</v>
      </c>
      <c r="G301">
        <v>63.38</v>
      </c>
      <c r="H301">
        <v>1711.26</v>
      </c>
      <c r="I301">
        <v>1</v>
      </c>
      <c r="J301" t="s">
        <v>486</v>
      </c>
      <c r="K301">
        <v>62</v>
      </c>
      <c r="L301" t="s">
        <v>508</v>
      </c>
      <c r="M301" t="s">
        <v>468</v>
      </c>
      <c r="N301" t="s">
        <v>469</v>
      </c>
      <c r="O301" t="s">
        <v>303</v>
      </c>
      <c r="P301" t="s">
        <v>36</v>
      </c>
      <c r="Q301" t="s">
        <v>470</v>
      </c>
      <c r="R301" t="s">
        <v>471</v>
      </c>
      <c r="S301" t="s">
        <v>30</v>
      </c>
      <c r="T301" t="str">
        <f>_xlfn.CONCAT(sales_data_sample[[#This Row],[CONTACTLASTNAME]]," ",sales_data_sample[[#This Row],[CONTACTFIRSTNAME]])</f>
        <v>Cartrain Pascale</v>
      </c>
    </row>
    <row r="302" spans="1:20" x14ac:dyDescent="0.3">
      <c r="A302">
        <v>10144</v>
      </c>
      <c r="B302" t="s">
        <v>467</v>
      </c>
      <c r="C302" s="1">
        <v>37846</v>
      </c>
      <c r="D302" t="s">
        <v>47</v>
      </c>
      <c r="E302" t="s">
        <v>21</v>
      </c>
      <c r="F302">
        <v>20</v>
      </c>
      <c r="G302">
        <v>81.86</v>
      </c>
      <c r="H302">
        <v>1637.2</v>
      </c>
      <c r="I302">
        <v>1</v>
      </c>
      <c r="J302" t="s">
        <v>444</v>
      </c>
      <c r="K302">
        <v>68</v>
      </c>
      <c r="L302" t="s">
        <v>509</v>
      </c>
      <c r="M302" t="s">
        <v>468</v>
      </c>
      <c r="N302" t="s">
        <v>469</v>
      </c>
      <c r="O302" t="s">
        <v>303</v>
      </c>
      <c r="P302" t="s">
        <v>36</v>
      </c>
      <c r="Q302" t="s">
        <v>470</v>
      </c>
      <c r="R302" t="s">
        <v>471</v>
      </c>
      <c r="S302" t="s">
        <v>30</v>
      </c>
      <c r="T302" t="str">
        <f>_xlfn.CONCAT(sales_data_sample[[#This Row],[CONTACTLASTNAME]]," ",sales_data_sample[[#This Row],[CONTACTFIRSTNAME]])</f>
        <v>Cartrain Pascale</v>
      </c>
    </row>
    <row r="303" spans="1:20" x14ac:dyDescent="0.3">
      <c r="A303">
        <v>10156</v>
      </c>
      <c r="B303" t="s">
        <v>151</v>
      </c>
      <c r="C303" s="1">
        <v>37902</v>
      </c>
      <c r="D303" t="s">
        <v>53</v>
      </c>
      <c r="E303" t="s">
        <v>21</v>
      </c>
      <c r="F303">
        <v>20</v>
      </c>
      <c r="G303">
        <v>41.02</v>
      </c>
      <c r="H303">
        <v>820.4</v>
      </c>
      <c r="I303">
        <v>1</v>
      </c>
      <c r="J303" t="s">
        <v>444</v>
      </c>
      <c r="K303">
        <v>43</v>
      </c>
      <c r="L303" t="s">
        <v>510</v>
      </c>
      <c r="M303" t="s">
        <v>153</v>
      </c>
      <c r="N303" t="s">
        <v>154</v>
      </c>
      <c r="O303" t="s">
        <v>155</v>
      </c>
      <c r="P303" t="s">
        <v>36</v>
      </c>
      <c r="Q303" t="s">
        <v>156</v>
      </c>
      <c r="R303" t="s">
        <v>157</v>
      </c>
      <c r="S303" t="s">
        <v>30</v>
      </c>
      <c r="T303" t="str">
        <f>_xlfn.CONCAT(sales_data_sample[[#This Row],[CONTACTLASTNAME]]," ",sales_data_sample[[#This Row],[CONTACTFIRSTNAME]])</f>
        <v>Freyre Diego</v>
      </c>
    </row>
    <row r="304" spans="1:20" x14ac:dyDescent="0.3">
      <c r="A304">
        <v>10199</v>
      </c>
      <c r="B304" t="s">
        <v>199</v>
      </c>
      <c r="C304" s="1">
        <v>37956</v>
      </c>
      <c r="D304" t="s">
        <v>74</v>
      </c>
      <c r="E304" t="s">
        <v>21</v>
      </c>
      <c r="F304">
        <v>29</v>
      </c>
      <c r="G304">
        <v>38.4</v>
      </c>
      <c r="H304">
        <v>1113.5999999999999</v>
      </c>
      <c r="I304">
        <v>1</v>
      </c>
      <c r="J304" t="s">
        <v>444</v>
      </c>
      <c r="K304">
        <v>43</v>
      </c>
      <c r="L304" t="s">
        <v>510</v>
      </c>
      <c r="M304" t="s">
        <v>200</v>
      </c>
      <c r="N304" t="s">
        <v>94</v>
      </c>
      <c r="O304" t="s">
        <v>26</v>
      </c>
      <c r="P304" t="s">
        <v>27</v>
      </c>
      <c r="Q304" t="s">
        <v>201</v>
      </c>
      <c r="R304" t="s">
        <v>202</v>
      </c>
      <c r="S304" t="s">
        <v>30</v>
      </c>
      <c r="T304" t="str">
        <f>_xlfn.CONCAT(sales_data_sample[[#This Row],[CONTACTLASTNAME]]," ",sales_data_sample[[#This Row],[CONTACTFIRSTNAME]])</f>
        <v>Thompson Steve</v>
      </c>
    </row>
    <row r="305" spans="1:20" x14ac:dyDescent="0.3">
      <c r="A305">
        <v>10397</v>
      </c>
      <c r="B305" t="s">
        <v>280</v>
      </c>
      <c r="C305" s="1">
        <v>38439</v>
      </c>
      <c r="D305" t="s">
        <v>140</v>
      </c>
      <c r="E305" t="s">
        <v>21</v>
      </c>
      <c r="F305">
        <v>32</v>
      </c>
      <c r="G305">
        <v>80.55</v>
      </c>
      <c r="H305">
        <v>2577.6</v>
      </c>
      <c r="I305">
        <v>5</v>
      </c>
      <c r="J305" t="s">
        <v>482</v>
      </c>
      <c r="K305">
        <v>86</v>
      </c>
      <c r="L305" t="s">
        <v>511</v>
      </c>
      <c r="M305" t="s">
        <v>281</v>
      </c>
      <c r="N305" t="s">
        <v>282</v>
      </c>
      <c r="O305" t="s">
        <v>35</v>
      </c>
      <c r="P305" t="s">
        <v>36</v>
      </c>
      <c r="Q305" t="s">
        <v>283</v>
      </c>
      <c r="R305" t="s">
        <v>284</v>
      </c>
      <c r="S305" t="s">
        <v>30</v>
      </c>
      <c r="T305" t="str">
        <f>_xlfn.CONCAT(sales_data_sample[[#This Row],[CONTACTLASTNAME]]," ",sales_data_sample[[#This Row],[CONTACTFIRSTNAME]])</f>
        <v>Roulet Annette</v>
      </c>
    </row>
    <row r="306" spans="1:20" x14ac:dyDescent="0.3">
      <c r="A306">
        <v>10352</v>
      </c>
      <c r="B306" t="s">
        <v>481</v>
      </c>
      <c r="C306" s="1">
        <v>38324</v>
      </c>
      <c r="D306" t="s">
        <v>74</v>
      </c>
      <c r="E306" t="s">
        <v>21</v>
      </c>
      <c r="F306">
        <v>23</v>
      </c>
      <c r="G306">
        <v>100</v>
      </c>
      <c r="H306">
        <v>2352.67</v>
      </c>
      <c r="I306">
        <v>3</v>
      </c>
      <c r="J306" t="s">
        <v>482</v>
      </c>
      <c r="K306">
        <v>90</v>
      </c>
      <c r="L306" t="s">
        <v>512</v>
      </c>
      <c r="M306" t="s">
        <v>236</v>
      </c>
      <c r="N306" t="s">
        <v>237</v>
      </c>
      <c r="O306" t="s">
        <v>26</v>
      </c>
      <c r="P306" t="s">
        <v>27</v>
      </c>
      <c r="Q306" t="s">
        <v>428</v>
      </c>
      <c r="R306" t="s">
        <v>208</v>
      </c>
      <c r="S306" t="s">
        <v>30</v>
      </c>
      <c r="T306" t="str">
        <f>_xlfn.CONCAT(sales_data_sample[[#This Row],[CONTACTLASTNAME]]," ",sales_data_sample[[#This Row],[CONTACTFIRSTNAME]])</f>
        <v>Taylor Leslie</v>
      </c>
    </row>
    <row r="307" spans="1:20" x14ac:dyDescent="0.3">
      <c r="A307">
        <v>10118</v>
      </c>
      <c r="B307" t="s">
        <v>289</v>
      </c>
      <c r="C307" s="1">
        <v>37732</v>
      </c>
      <c r="D307" t="s">
        <v>89</v>
      </c>
      <c r="E307" t="s">
        <v>21</v>
      </c>
      <c r="F307">
        <v>36</v>
      </c>
      <c r="G307">
        <v>100</v>
      </c>
      <c r="H307">
        <v>4219.2</v>
      </c>
      <c r="I307">
        <v>1</v>
      </c>
      <c r="J307" t="s">
        <v>482</v>
      </c>
      <c r="K307">
        <v>100</v>
      </c>
      <c r="L307" t="s">
        <v>513</v>
      </c>
      <c r="M307" t="s">
        <v>290</v>
      </c>
      <c r="N307" t="s">
        <v>291</v>
      </c>
      <c r="O307" t="s">
        <v>155</v>
      </c>
      <c r="P307" t="s">
        <v>36</v>
      </c>
      <c r="Q307" t="s">
        <v>292</v>
      </c>
      <c r="R307" t="s">
        <v>293</v>
      </c>
      <c r="S307" t="s">
        <v>45</v>
      </c>
      <c r="T307" t="str">
        <f>_xlfn.CONCAT(sales_data_sample[[#This Row],[CONTACTLASTNAME]]," ",sales_data_sample[[#This Row],[CONTACTFIRSTNAME]])</f>
        <v>Saavedra Eduardo</v>
      </c>
    </row>
    <row r="308" spans="1:20" x14ac:dyDescent="0.3">
      <c r="A308">
        <v>10294</v>
      </c>
      <c r="B308" t="s">
        <v>373</v>
      </c>
      <c r="C308" s="1">
        <v>38240</v>
      </c>
      <c r="D308" t="s">
        <v>112</v>
      </c>
      <c r="E308" t="s">
        <v>21</v>
      </c>
      <c r="F308">
        <v>45</v>
      </c>
      <c r="G308">
        <v>100</v>
      </c>
      <c r="H308">
        <v>4692.6000000000004</v>
      </c>
      <c r="I308">
        <v>1</v>
      </c>
      <c r="J308" t="s">
        <v>482</v>
      </c>
      <c r="K308">
        <v>99</v>
      </c>
      <c r="L308" t="s">
        <v>514</v>
      </c>
      <c r="M308" t="s">
        <v>236</v>
      </c>
      <c r="N308" t="s">
        <v>237</v>
      </c>
      <c r="O308" t="s">
        <v>26</v>
      </c>
      <c r="P308" t="s">
        <v>27</v>
      </c>
      <c r="Q308" t="s">
        <v>374</v>
      </c>
      <c r="R308" t="s">
        <v>375</v>
      </c>
      <c r="S308" t="s">
        <v>45</v>
      </c>
      <c r="T308" t="str">
        <f>_xlfn.CONCAT(sales_data_sample[[#This Row],[CONTACTLASTNAME]]," ",sales_data_sample[[#This Row],[CONTACTFIRSTNAME]])</f>
        <v>Barajas Miguel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D741F-2961-4BC0-B04F-1AB8E70FA124}">
  <sheetPr>
    <tabColor theme="9"/>
  </sheetPr>
  <dimension ref="D1:W3"/>
  <sheetViews>
    <sheetView showGridLines="0" zoomScale="50" zoomScaleNormal="50" workbookViewId="0">
      <selection activeCell="K54" sqref="K54"/>
    </sheetView>
  </sheetViews>
  <sheetFormatPr defaultRowHeight="14.4" x14ac:dyDescent="0.3"/>
  <cols>
    <col min="1" max="1" width="8.88671875" style="4"/>
    <col min="2" max="2" width="59.33203125" style="4" customWidth="1"/>
    <col min="3" max="3" width="4.5546875" style="4" customWidth="1"/>
    <col min="4" max="16384" width="8.88671875" style="4"/>
  </cols>
  <sheetData>
    <row r="1" spans="4:23" ht="14.4" customHeight="1" x14ac:dyDescent="0.3">
      <c r="F1" s="5"/>
      <c r="G1" s="5"/>
      <c r="H1" s="5"/>
      <c r="I1" s="5"/>
      <c r="J1" s="5"/>
      <c r="K1" s="5"/>
      <c r="L1" s="5"/>
      <c r="M1" s="5"/>
      <c r="N1" s="5"/>
      <c r="O1" s="5"/>
      <c r="P1" s="5"/>
      <c r="Q1" s="5"/>
      <c r="R1" s="5"/>
      <c r="S1" s="5"/>
      <c r="T1" s="5"/>
      <c r="U1" s="5"/>
      <c r="V1" s="5"/>
      <c r="W1" s="5"/>
    </row>
    <row r="2" spans="4:23" x14ac:dyDescent="0.3">
      <c r="D2" s="5"/>
      <c r="E2" s="5"/>
      <c r="F2" s="5"/>
      <c r="G2" s="5"/>
      <c r="H2" s="5"/>
      <c r="I2" s="5"/>
      <c r="J2" s="5"/>
      <c r="K2" s="5"/>
      <c r="L2" s="5"/>
      <c r="M2" s="5"/>
      <c r="N2" s="5"/>
      <c r="O2" s="5"/>
      <c r="P2" s="5"/>
      <c r="Q2" s="5"/>
      <c r="R2" s="5"/>
      <c r="S2" s="5"/>
      <c r="T2" s="5"/>
      <c r="U2" s="5"/>
      <c r="V2" s="5"/>
      <c r="W2" s="5"/>
    </row>
    <row r="3" spans="4:23" x14ac:dyDescent="0.3">
      <c r="D3" s="5"/>
      <c r="E3" s="5"/>
      <c r="F3" s="5"/>
      <c r="G3" s="5"/>
      <c r="H3" s="5"/>
      <c r="I3" s="5"/>
      <c r="J3" s="5"/>
      <c r="K3" s="5"/>
      <c r="L3" s="5"/>
      <c r="M3" s="5"/>
      <c r="N3" s="5"/>
      <c r="O3" s="5"/>
      <c r="P3" s="5"/>
      <c r="Q3" s="5"/>
      <c r="R3" s="5"/>
      <c r="S3" s="5"/>
      <c r="T3" s="5"/>
      <c r="U3" s="5"/>
      <c r="V3" s="5"/>
      <c r="W3"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D8597B-29CD-4CFE-ACED-41D5294993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 </vt:lpstr>
      <vt:lpstr> Clean Dataset</vt:lpstr>
      <vt:lpstr>Main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Yadav family</dc:creator>
  <cp:lastModifiedBy>Yadav family</cp:lastModifiedBy>
  <dcterms:created xsi:type="dcterms:W3CDTF">2026-08-04T16:04:57Z</dcterms:created>
  <dcterms:modified xsi:type="dcterms:W3CDTF">2026-08-23T04:08:00Z</dcterms:modified>
</cp:coreProperties>
</file>